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b6b6fe986ee29d/Desktop/"/>
    </mc:Choice>
  </mc:AlternateContent>
  <xr:revisionPtr revIDLastSave="99" documentId="11_077976ACF64F1BB067984091D3ED365ACF8E1AD7" xr6:coauthVersionLast="47" xr6:coauthVersionMax="47" xr10:uidLastSave="{AF307217-6CCF-40C7-BA52-F5BC4D0223DE}"/>
  <bookViews>
    <workbookView minimized="1" xWindow="0" yWindow="0" windowWidth="11724" windowHeight="12240" firstSheet="4" activeTab="14" xr2:uid="{00000000-000D-0000-FFFF-FFFF00000000}"/>
  </bookViews>
  <sheets>
    <sheet name="161068" sheetId="1" r:id="rId1"/>
    <sheet name="011168" sheetId="2" r:id="rId2"/>
    <sheet name="161168" sheetId="3" r:id="rId3"/>
    <sheet name="011268" sheetId="4" r:id="rId4"/>
    <sheet name="161268" sheetId="5" r:id="rId5"/>
    <sheet name="020169" sheetId="6" r:id="rId6"/>
    <sheet name="170169" sheetId="7" r:id="rId7"/>
    <sheet name="010269" sheetId="8" r:id="rId8"/>
    <sheet name="160269" sheetId="9" r:id="rId9"/>
    <sheet name="010369" sheetId="10" r:id="rId10"/>
    <sheet name="160369" sheetId="12" r:id="rId11"/>
    <sheet name="010469" sheetId="11" r:id="rId12"/>
    <sheet name="160469" sheetId="13" r:id="rId13"/>
    <sheet name="010569" sheetId="14" r:id="rId14"/>
    <sheet name="160569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5" l="1"/>
  <c r="C6" i="15"/>
  <c r="C7" i="15"/>
  <c r="C8" i="15"/>
  <c r="C9" i="15"/>
  <c r="C13" i="15"/>
  <c r="A40" i="15"/>
  <c r="K16" i="15"/>
  <c r="B16" i="15"/>
  <c r="C14" i="15"/>
  <c r="C11" i="15"/>
  <c r="B10" i="15"/>
  <c r="C4" i="15"/>
  <c r="C16" i="14"/>
  <c r="C13" i="14"/>
  <c r="C12" i="14"/>
  <c r="C5" i="14"/>
  <c r="C6" i="14"/>
  <c r="C7" i="14"/>
  <c r="C8" i="14"/>
  <c r="C9" i="14"/>
  <c r="C10" i="14"/>
  <c r="A43" i="14"/>
  <c r="K19" i="14"/>
  <c r="B19" i="14"/>
  <c r="C18" i="14"/>
  <c r="C17" i="14"/>
  <c r="C15" i="14"/>
  <c r="B11" i="14"/>
  <c r="C4" i="14"/>
  <c r="B19" i="13"/>
  <c r="C18" i="13"/>
  <c r="C15" i="13"/>
  <c r="C9" i="13"/>
  <c r="C16" i="15" l="1"/>
  <c r="C10" i="15"/>
  <c r="B17" i="15"/>
  <c r="C19" i="14"/>
  <c r="C11" i="14"/>
  <c r="B20" i="14"/>
  <c r="A43" i="13"/>
  <c r="K19" i="13"/>
  <c r="C17" i="13"/>
  <c r="C14" i="13"/>
  <c r="B11" i="13"/>
  <c r="C10" i="13"/>
  <c r="C7" i="13"/>
  <c r="C6" i="13"/>
  <c r="C5" i="13"/>
  <c r="C4" i="13"/>
  <c r="C17" i="15" l="1"/>
  <c r="J17" i="15" s="1"/>
  <c r="C20" i="14"/>
  <c r="J20" i="14" s="1"/>
  <c r="C11" i="13"/>
  <c r="B20" i="13"/>
  <c r="C19" i="13"/>
  <c r="K21" i="11"/>
  <c r="C18" i="11"/>
  <c r="C20" i="11"/>
  <c r="C7" i="11"/>
  <c r="C20" i="13" l="1"/>
  <c r="J20" i="13" s="1"/>
  <c r="A54" i="12"/>
  <c r="B24" i="12"/>
  <c r="C23" i="12"/>
  <c r="C22" i="12"/>
  <c r="C19" i="12"/>
  <c r="C18" i="12"/>
  <c r="C17" i="12"/>
  <c r="C16" i="12"/>
  <c r="C15" i="12"/>
  <c r="C14" i="12"/>
  <c r="C13" i="12"/>
  <c r="C12" i="12"/>
  <c r="B11" i="12"/>
  <c r="C10" i="12"/>
  <c r="C9" i="12"/>
  <c r="C8" i="12"/>
  <c r="C7" i="12"/>
  <c r="C6" i="12"/>
  <c r="C5" i="12"/>
  <c r="C4" i="12"/>
  <c r="C24" i="12" l="1"/>
  <c r="B25" i="12"/>
  <c r="C11" i="12"/>
  <c r="A45" i="11"/>
  <c r="C13" i="11"/>
  <c r="C15" i="11"/>
  <c r="C17" i="11"/>
  <c r="C9" i="11"/>
  <c r="B21" i="11"/>
  <c r="C11" i="11"/>
  <c r="B10" i="11"/>
  <c r="C6" i="11"/>
  <c r="C5" i="11"/>
  <c r="C4" i="11"/>
  <c r="C21" i="11" l="1"/>
  <c r="C10" i="11"/>
  <c r="C25" i="12"/>
  <c r="B22" i="11"/>
  <c r="C6" i="10"/>
  <c r="B16" i="10"/>
  <c r="C11" i="10"/>
  <c r="C7" i="10"/>
  <c r="C8" i="10"/>
  <c r="A38" i="10"/>
  <c r="I23" i="10"/>
  <c r="C15" i="10"/>
  <c r="C14" i="10"/>
  <c r="B10" i="10"/>
  <c r="C9" i="10"/>
  <c r="C5" i="10"/>
  <c r="C4" i="10"/>
  <c r="C22" i="11" l="1"/>
  <c r="J22" i="11" s="1"/>
  <c r="C16" i="10"/>
  <c r="B17" i="10"/>
  <c r="C10" i="10"/>
  <c r="C10" i="9"/>
  <c r="A34" i="9"/>
  <c r="I19" i="9"/>
  <c r="B12" i="9"/>
  <c r="C11" i="9"/>
  <c r="C12" i="9" s="1"/>
  <c r="B9" i="9"/>
  <c r="C8" i="9"/>
  <c r="C7" i="9"/>
  <c r="C6" i="9"/>
  <c r="C5" i="9"/>
  <c r="C4" i="9"/>
  <c r="C17" i="10" l="1"/>
  <c r="B13" i="9"/>
  <c r="C9" i="9"/>
  <c r="C13" i="9" s="1"/>
  <c r="C10" i="8"/>
  <c r="C5" i="8"/>
  <c r="B11" i="8"/>
  <c r="A38" i="8"/>
  <c r="I23" i="8"/>
  <c r="B16" i="8"/>
  <c r="C15" i="8"/>
  <c r="C13" i="8"/>
  <c r="C12" i="8"/>
  <c r="C9" i="8"/>
  <c r="C8" i="8"/>
  <c r="C7" i="8"/>
  <c r="C6" i="8"/>
  <c r="C4" i="8"/>
  <c r="C11" i="8" l="1"/>
  <c r="C16" i="8"/>
  <c r="B17" i="8"/>
  <c r="C12" i="7"/>
  <c r="C9" i="7"/>
  <c r="A36" i="7"/>
  <c r="I21" i="7"/>
  <c r="B14" i="7"/>
  <c r="C13" i="7"/>
  <c r="C11" i="7"/>
  <c r="B10" i="7"/>
  <c r="C8" i="7"/>
  <c r="C7" i="7"/>
  <c r="C6" i="7"/>
  <c r="C5" i="7"/>
  <c r="C4" i="7"/>
  <c r="C17" i="8" l="1"/>
  <c r="C14" i="7"/>
  <c r="C10" i="7"/>
  <c r="C15" i="7" s="1"/>
  <c r="B15" i="7"/>
  <c r="B12" i="6"/>
  <c r="C10" i="6"/>
  <c r="C4" i="6"/>
  <c r="A39" i="6"/>
  <c r="I24" i="6"/>
  <c r="B17" i="6"/>
  <c r="C16" i="6"/>
  <c r="C14" i="6"/>
  <c r="C13" i="6"/>
  <c r="C11" i="6"/>
  <c r="C9" i="6"/>
  <c r="C8" i="6"/>
  <c r="C7" i="6"/>
  <c r="C6" i="6"/>
  <c r="C5" i="6"/>
  <c r="C12" i="6" l="1"/>
  <c r="C17" i="6"/>
  <c r="B18" i="6"/>
  <c r="A36" i="5"/>
  <c r="C18" i="6" l="1"/>
  <c r="I21" i="5"/>
  <c r="C12" i="5"/>
  <c r="C13" i="5"/>
  <c r="C11" i="5"/>
  <c r="C5" i="5"/>
  <c r="C6" i="5"/>
  <c r="C7" i="5"/>
  <c r="C8" i="5"/>
  <c r="C9" i="5"/>
  <c r="C4" i="5"/>
  <c r="B14" i="5"/>
  <c r="B10" i="5"/>
  <c r="C14" i="5" l="1"/>
  <c r="B15" i="5"/>
  <c r="C10" i="5"/>
  <c r="A53" i="4"/>
  <c r="C15" i="5" l="1"/>
  <c r="J7" i="4"/>
  <c r="K7" i="4" s="1"/>
  <c r="C5" i="4"/>
  <c r="C7" i="4"/>
  <c r="B16" i="4"/>
  <c r="C12" i="4"/>
  <c r="C15" i="4"/>
  <c r="B20" i="4" l="1"/>
  <c r="B21" i="4" s="1"/>
  <c r="C20" i="4"/>
  <c r="C14" i="4"/>
  <c r="C13" i="4"/>
  <c r="C10" i="4"/>
  <c r="C9" i="4"/>
  <c r="C8" i="4"/>
  <c r="C6" i="4"/>
  <c r="C16" i="4" l="1"/>
  <c r="C21" i="4" s="1"/>
  <c r="C11" i="3"/>
  <c r="C8" i="3"/>
  <c r="C7" i="3"/>
  <c r="C19" i="3"/>
  <c r="C17" i="3"/>
  <c r="C5" i="3"/>
  <c r="C6" i="3"/>
  <c r="C9" i="3"/>
  <c r="C10" i="3"/>
  <c r="C12" i="3"/>
  <c r="C14" i="3"/>
  <c r="C15" i="3"/>
  <c r="C4" i="3"/>
  <c r="B16" i="3"/>
  <c r="B20" i="3"/>
  <c r="B21" i="3" l="1"/>
  <c r="C16" i="3"/>
  <c r="C20" i="3"/>
  <c r="C12" i="2"/>
  <c r="B12" i="2"/>
  <c r="B13" i="2" l="1"/>
  <c r="B14" i="2" s="1"/>
  <c r="C13" i="2"/>
  <c r="C21" i="3"/>
  <c r="C14" i="2"/>
  <c r="C18" i="1"/>
  <c r="C24" i="1" s="1"/>
  <c r="B18" i="1"/>
  <c r="B24" i="1" s="1"/>
</calcChain>
</file>

<file path=xl/sharedStrings.xml><?xml version="1.0" encoding="utf-8"?>
<sst xmlns="http://schemas.openxmlformats.org/spreadsheetml/2006/main" count="730" uniqueCount="177">
  <si>
    <t>ชื่อ</t>
  </si>
  <si>
    <t>ยอดก่อน</t>
  </si>
  <si>
    <t>หมายเหตุ</t>
  </si>
  <si>
    <t>น้องพี</t>
  </si>
  <si>
    <t>พี่เอ</t>
  </si>
  <si>
    <t>กล้า</t>
  </si>
  <si>
    <t>รวม</t>
  </si>
  <si>
    <t>วิ่ง</t>
  </si>
  <si>
    <t>รวม + รัน</t>
  </si>
  <si>
    <t>ลด20%</t>
  </si>
  <si>
    <t>ยอดจ่าย</t>
  </si>
  <si>
    <t>พี่อบ</t>
  </si>
  <si>
    <t>เบ๊นซ์</t>
  </si>
  <si>
    <t>พี่จา</t>
  </si>
  <si>
    <t>พี่กฤษ</t>
  </si>
  <si>
    <t>ลุงทิด</t>
  </si>
  <si>
    <t>ฮาร์ดี้</t>
  </si>
  <si>
    <t>นัน1</t>
  </si>
  <si>
    <t>นัน2</t>
  </si>
  <si>
    <t>นัน3</t>
  </si>
  <si>
    <t>นัน4</t>
  </si>
  <si>
    <t>พี่ตา</t>
  </si>
  <si>
    <t>พี่ยุ</t>
  </si>
  <si>
    <t>นันรวม</t>
  </si>
  <si>
    <t>**โปรดดำเนินการโอนค่าใช้จ่ายบัญชี</t>
  </si>
  <si>
    <t>ชื่อบัญชี พงศกร  (โปรดแนบสลิปการโอน)</t>
  </si>
  <si>
    <r>
      <rPr>
        <b/>
        <u/>
        <sz val="12"/>
        <color rgb="FFFF0000"/>
        <rFont val="Tahoma"/>
        <family val="2"/>
        <scheme val="minor"/>
      </rPr>
      <t xml:space="preserve">271-2-51047-4 </t>
    </r>
    <r>
      <rPr>
        <b/>
        <u/>
        <sz val="12"/>
        <color theme="1"/>
        <rFont val="Tahoma"/>
        <family val="2"/>
        <scheme val="minor"/>
      </rPr>
      <t>ธนาคารไทยพานิชย์</t>
    </r>
  </si>
  <si>
    <t>**รอบ16/10/2568</t>
  </si>
  <si>
    <r>
      <t>วิ่ง 200x3=600-800=</t>
    </r>
    <r>
      <rPr>
        <sz val="10"/>
        <color rgb="FFFF0000"/>
        <rFont val="Tahoma"/>
        <family val="2"/>
        <scheme val="minor"/>
      </rPr>
      <t>-200</t>
    </r>
  </si>
  <si>
    <t>พี่กุ้ง เอเรีย</t>
  </si>
  <si>
    <t>สนุ๊ก</t>
  </si>
  <si>
    <t>พี่เจน</t>
  </si>
  <si>
    <t>พี่อบ2</t>
  </si>
  <si>
    <t xml:space="preserve"> ลด 20% = 704+400 (วิ่ง)</t>
  </si>
  <si>
    <t>**รอบ 01/11/2568</t>
  </si>
  <si>
    <t>พี่กุ้ง</t>
  </si>
  <si>
    <t>**รอบ 16/11/2568</t>
  </si>
  <si>
    <t>แจ๊ค ท่าเตียน</t>
  </si>
  <si>
    <t>ปอนด์ ท่าเตียน</t>
  </si>
  <si>
    <t>นัท</t>
  </si>
  <si>
    <t>พี่เอ2</t>
  </si>
  <si>
    <t>ลด 20%</t>
  </si>
  <si>
    <t>ถูก 10*60 =600=352</t>
  </si>
  <si>
    <t>ถูก 300*3=900 ล่าง 500*4=2000+900 = 2900-1800 = 1,100</t>
  </si>
  <si>
    <t>รวม 720 บาท</t>
  </si>
  <si>
    <t>Status</t>
  </si>
  <si>
    <t>โอนแล้ว</t>
  </si>
  <si>
    <t>**รอบ 01/12/2568</t>
  </si>
  <si>
    <t>วิ่ง 2000 บน 500*3 = 1500 ล่าง 500*4 = 2000 (3,500-2000) = 1500</t>
  </si>
  <si>
    <t>50*90 = 4500-600 = 3900</t>
  </si>
  <si>
    <r>
      <rPr>
        <b/>
        <u/>
        <sz val="16"/>
        <color rgb="FFFF0000"/>
        <rFont val="Tahoma"/>
        <family val="2"/>
        <scheme val="minor"/>
      </rPr>
      <t xml:space="preserve">271-2-51047-4 </t>
    </r>
    <r>
      <rPr>
        <b/>
        <u/>
        <sz val="16"/>
        <color theme="1"/>
        <rFont val="Tahoma"/>
        <family val="2"/>
        <scheme val="minor"/>
      </rPr>
      <t>ธนาคารไทยพานิชย์</t>
    </r>
  </si>
  <si>
    <t>พี่อบ1</t>
  </si>
  <si>
    <t>รวม 544 บาท</t>
  </si>
  <si>
    <t xml:space="preserve">16.12.68 ✅ </t>
  </si>
  <si>
    <t>โต๊ดเลขอั้น 50*45 = *2,250*</t>
  </si>
  <si>
    <t xml:space="preserve">2250-240 = *2,010* </t>
  </si>
  <si>
    <t>ค่าใช้จ่ายงวด 01.12.68 = 480</t>
  </si>
  <si>
    <t>2010-480 = *1,530*  (ยอดโอนสุทธิ)</t>
  </si>
  <si>
    <t xml:space="preserve">**ยอดโอน  เด่วลูกค้าโอนครบแล้ว จัดการ tranfer ให้นะครับ </t>
  </si>
  <si>
    <t>งวด 16.12.68 พี่จา</t>
  </si>
  <si>
    <t>หักออก</t>
  </si>
  <si>
    <t xml:space="preserve">ถูกเลขอั้น 50*30 = *1,500* </t>
  </si>
  <si>
    <t>1500-640 = *860*</t>
  </si>
  <si>
    <t xml:space="preserve">วิ่งบน 500*3 = *1,500* </t>
  </si>
  <si>
    <t xml:space="preserve">วิ่งล่าง 500*4 = *2,000* </t>
  </si>
  <si>
    <t xml:space="preserve">รวม 1500+2000 = *3,500* </t>
  </si>
  <si>
    <t xml:space="preserve">3500-1500 = *2,000* </t>
  </si>
  <si>
    <t xml:space="preserve">นัน1+นัน3 ยอดรวม 860+2000 = *2,860* </t>
  </si>
  <si>
    <t>ค่าใช้จ่ายงวด 01.12.68 = 440</t>
  </si>
  <si>
    <t>งวด 16.12.68 นัน</t>
  </si>
  <si>
    <t>ยอดรวมโอนจ่ายทั้ง 2 คน (พี่จา+นัน)</t>
  </si>
  <si>
    <t>480 บาท หักลบออกจากยอดถูกงวด 16.12.68</t>
  </si>
  <si>
    <t>ไม่ต้องโอน</t>
  </si>
  <si>
    <t>ถูกหวย</t>
  </si>
  <si>
    <t>440 บาท หักลบออกจากยอดถูกงวด 16.12.68</t>
  </si>
  <si>
    <t xml:space="preserve">300*0.8 = *240* </t>
  </si>
  <si>
    <t>ยอดซื้อ</t>
  </si>
  <si>
    <t xml:space="preserve">ยอดซื้อ </t>
  </si>
  <si>
    <r>
      <rPr>
        <b/>
        <sz val="14"/>
        <color theme="1"/>
        <rFont val="Tahoma"/>
        <family val="2"/>
        <scheme val="minor"/>
      </rPr>
      <t>นัน1</t>
    </r>
    <r>
      <rPr>
        <sz val="14"/>
        <color theme="1"/>
        <rFont val="Tahoma"/>
        <family val="2"/>
        <scheme val="minor"/>
      </rPr>
      <t xml:space="preserve"> 800*0.8 = *640* </t>
    </r>
  </si>
  <si>
    <r>
      <rPr>
        <b/>
        <sz val="14"/>
        <color theme="1"/>
        <rFont val="Tahoma"/>
        <family val="2"/>
        <scheme val="minor"/>
      </rPr>
      <t>นัน3</t>
    </r>
    <r>
      <rPr>
        <sz val="14"/>
        <color theme="1"/>
        <rFont val="Tahoma"/>
        <family val="2"/>
        <scheme val="minor"/>
      </rPr>
      <t xml:space="preserve"> วิ่ง 1500</t>
    </r>
  </si>
  <si>
    <r>
      <t>2860-440 =</t>
    </r>
    <r>
      <rPr>
        <b/>
        <sz val="12"/>
        <color theme="1"/>
        <rFont val="Tahoma"/>
        <family val="2"/>
        <scheme val="minor"/>
      </rPr>
      <t xml:space="preserve"> *2,420* (ยอดโอนสุทธิ)</t>
    </r>
  </si>
  <si>
    <t>นัน5</t>
  </si>
  <si>
    <t>50*60 = 3,000</t>
  </si>
  <si>
    <t>1,050*0.8 = 840</t>
  </si>
  <si>
    <t>3,000-840 = 2,160</t>
  </si>
  <si>
    <t>ยอดโอนสุทธิ = 2,160</t>
  </si>
  <si>
    <t xml:space="preserve"> ✅ งวด 01.01.69</t>
  </si>
  <si>
    <t xml:space="preserve"> ✅  พี่กฤษ ยอดซื้อ</t>
  </si>
  <si>
    <t xml:space="preserve"> ✅  นัน3 ยอดซื้อ </t>
  </si>
  <si>
    <t>320*0.8 = 256</t>
  </si>
  <si>
    <t>20*60 = 1,200</t>
  </si>
  <si>
    <t>**รอบ 16/12/2568</t>
  </si>
  <si>
    <t>วิ่ง 1,200-259 = 944</t>
  </si>
  <si>
    <t>ยอดจ่ายบิลนัน3 = 944</t>
  </si>
  <si>
    <t>ยอดรวมโอนจ่ายทั้ง 2 คน (กฤษ+นัน)</t>
  </si>
  <si>
    <t>**รอบ 02/01/2569</t>
  </si>
  <si>
    <t>คุณก้อง</t>
  </si>
  <si>
    <t>เลขวิ่ง ไม่ลด %</t>
  </si>
  <si>
    <t>**รอบ 17/01/2569</t>
  </si>
  <si>
    <t>**รอบ 01/02/2569</t>
  </si>
  <si>
    <t xml:space="preserve">เพื่อนก้อย </t>
  </si>
  <si>
    <t xml:space="preserve">ถูก แต่ยอดติดลบเลขวิ่ง -700 บาท </t>
  </si>
  <si>
    <t>**รอบ 16/02/2569</t>
  </si>
  <si>
    <t>พี่ส้ม</t>
  </si>
  <si>
    <t>**รอบ 01/03/2569</t>
  </si>
  <si>
    <t>เลขวิ่ง ไม่มี%ส่วนลด</t>
  </si>
  <si>
    <t>ถูกเลขวิ่ง แต่ยอดติดลบ -500</t>
  </si>
  <si>
    <t>นัน6</t>
  </si>
  <si>
    <t>นัน7</t>
  </si>
  <si>
    <t>นัน8</t>
  </si>
  <si>
    <t>นัน9</t>
  </si>
  <si>
    <t>นัน10</t>
  </si>
  <si>
    <t>นัน11</t>
  </si>
  <si>
    <t>นัน12</t>
  </si>
  <si>
    <t>พี่กฤษ1</t>
  </si>
  <si>
    <t>พี่กฤษ2</t>
  </si>
  <si>
    <t>พี่กฤษ3</t>
  </si>
  <si>
    <t>ถูก 50*60 = 3,000-576 = 2,424</t>
  </si>
  <si>
    <t>ถูก 10*60 = 600-240 = 360</t>
  </si>
  <si>
    <t xml:space="preserve"> ✅ งวด 16.03.69</t>
  </si>
  <si>
    <t xml:space="preserve"> ✅ นัน1 ยอดซื้อ</t>
  </si>
  <si>
    <t>600-240 = 360</t>
  </si>
  <si>
    <t>10*60 = 600</t>
  </si>
  <si>
    <t xml:space="preserve"> ✅ นัน2 ยอดซื้อ</t>
  </si>
  <si>
    <t xml:space="preserve"> ✅ นัน10 ยอดซื้อ</t>
  </si>
  <si>
    <t>50*60 = 3,000-576 = 2,424</t>
  </si>
  <si>
    <t>3,000-576 = 2,424</t>
  </si>
  <si>
    <t>720*0.8 = 576</t>
  </si>
  <si>
    <t xml:space="preserve"> = 2000 เลขวิ้ง no%discount </t>
  </si>
  <si>
    <t>500*3 =1,500</t>
  </si>
  <si>
    <t xml:space="preserve">1,500-2000 = -500 </t>
  </si>
  <si>
    <t>ยอดจ่ายบิลนัน2 = 2,424</t>
  </si>
  <si>
    <t>ยอดจ่ายบิลนัน1 = 360</t>
  </si>
  <si>
    <t xml:space="preserve">ยอดจ่ายบิลนัน10 = -500 </t>
  </si>
  <si>
    <t>ยอดรวมโอนจ่าย</t>
  </si>
  <si>
    <t>**รอบ 16/03/2569</t>
  </si>
  <si>
    <t>รอโอน</t>
  </si>
  <si>
    <t>หักลบยอดถูกล่าสุด</t>
  </si>
  <si>
    <t>ไม่มี คชจ</t>
  </si>
  <si>
    <t>ยอดรวม 2,240</t>
  </si>
  <si>
    <t xml:space="preserve"> ✅ งวด 01.04.69</t>
  </si>
  <si>
    <t>1100*0.8 = 880</t>
  </si>
  <si>
    <t>3000-880 = 2,120</t>
  </si>
  <si>
    <t>2120-880 = 1,240</t>
  </si>
  <si>
    <t>ยอดจ่ายบิลนัน1 = 1,240</t>
  </si>
  <si>
    <t>500*3 = 1500</t>
  </si>
  <si>
    <t>1500-1500 = 0</t>
  </si>
  <si>
    <t>ยอดจ่ายบิลนัน2 = 0</t>
  </si>
  <si>
    <t xml:space="preserve"> ✅ นัน6 ยอดซื้อ</t>
  </si>
  <si>
    <t xml:space="preserve">วิ่งบน 1000 no%discount </t>
  </si>
  <si>
    <t xml:space="preserve">วิ่งบน 1500  no%discount </t>
  </si>
  <si>
    <t>300*3 =900</t>
  </si>
  <si>
    <t>900-1000 = -100</t>
  </si>
  <si>
    <t>ยอดจ่ายบิลนัน10 = -100</t>
  </si>
  <si>
    <t xml:space="preserve"> ✅ นัน9 ยอดซื้อ</t>
  </si>
  <si>
    <t>520*0.8 = 415</t>
  </si>
  <si>
    <t>30*60 = 1800</t>
  </si>
  <si>
    <t>1800-415 = 1385</t>
  </si>
  <si>
    <t>ยอดจ่ายบิลนัน10 = 1,385</t>
  </si>
  <si>
    <t>**รอบ 01/04/2569</t>
  </si>
  <si>
    <t xml:space="preserve">พี่เอ </t>
  </si>
  <si>
    <t>ถูก 50*60 = 3000-880 = 2120</t>
  </si>
  <si>
    <t xml:space="preserve">เลขวิ่ง ไม่มี%ส่วนลด ถูก 1500-1500 = 0 </t>
  </si>
  <si>
    <t xml:space="preserve">เลขวิ่ง ไม่มี%ส่วนลด ถูก 900-1000 = -100 </t>
  </si>
  <si>
    <t>ถูก 30*60 = 1800-416 = 1384</t>
  </si>
  <si>
    <t>นัน4-2</t>
  </si>
  <si>
    <t>ถูก 50*60 = 3000-800 = 2200</t>
  </si>
  <si>
    <t>**รอบ 16/04/2569</t>
  </si>
  <si>
    <t>พี่จา1</t>
  </si>
  <si>
    <t>พี่จา2</t>
  </si>
  <si>
    <t>นัน3 (วิ่ง)</t>
  </si>
  <si>
    <t xml:space="preserve">ยอดรวม  = 640 </t>
  </si>
  <si>
    <t>**รอบ 01/05/2569</t>
  </si>
  <si>
    <t>**รอบ 16/05/2569</t>
  </si>
  <si>
    <t>นัน2 (วิ่ง)</t>
  </si>
  <si>
    <t>นัน5 (วิ่ง)</t>
  </si>
  <si>
    <t xml:space="preserve">บน 400*3 = *1,200*,ล่าง 300*4 = *1,200* = 2400-1400 = *1,000*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</si>
</sst>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0.0%"/>
  </numFmts>
  <fonts count="32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4"/>
      <color rgb="FFFF0000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18"/>
      <color rgb="FFFF0000"/>
      <name val="Tahoma"/>
      <family val="2"/>
      <scheme val="minor"/>
    </font>
    <font>
      <sz val="18"/>
      <color theme="1"/>
      <name val="Tahoma"/>
      <family val="2"/>
      <scheme val="minor"/>
    </font>
    <font>
      <b/>
      <sz val="18"/>
      <color theme="0"/>
      <name val="Tahoma"/>
      <family val="2"/>
      <scheme val="minor"/>
    </font>
    <font>
      <sz val="18"/>
      <color rgb="FFFF0000"/>
      <name val="Tahoma"/>
      <family val="2"/>
      <scheme val="minor"/>
    </font>
    <font>
      <b/>
      <u/>
      <sz val="12"/>
      <color theme="1"/>
      <name val="Tahoma"/>
      <family val="2"/>
      <scheme val="minor"/>
    </font>
    <font>
      <b/>
      <u/>
      <sz val="12"/>
      <color rgb="FFFF000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2"/>
      <color rgb="FFFF0000"/>
      <name val="Tahoma"/>
      <family val="2"/>
      <scheme val="minor"/>
    </font>
    <font>
      <sz val="8"/>
      <color rgb="FFFF0000"/>
      <name val="Tahoma"/>
      <family val="2"/>
      <scheme val="minor"/>
    </font>
    <font>
      <b/>
      <sz val="18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8"/>
      <name val="Tahoma"/>
      <family val="2"/>
      <scheme val="minor"/>
    </font>
    <font>
      <sz val="16"/>
      <name val="Tahoma"/>
      <family val="2"/>
      <scheme val="minor"/>
    </font>
    <font>
      <b/>
      <u/>
      <sz val="16"/>
      <color theme="1"/>
      <name val="Tahoma"/>
      <family val="2"/>
      <scheme val="minor"/>
    </font>
    <font>
      <b/>
      <u/>
      <sz val="16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u/>
      <sz val="14"/>
      <color rgb="FF00B050"/>
      <name val="Tahoma"/>
      <family val="2"/>
      <scheme val="minor"/>
    </font>
    <font>
      <b/>
      <sz val="10"/>
      <color rgb="FFFF0000"/>
      <name val="Tahoma"/>
      <family val="2"/>
      <scheme val="minor"/>
    </font>
    <font>
      <b/>
      <sz val="12"/>
      <color rgb="FFFF0000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7" fillId="0" borderId="1" xfId="0" applyFont="1" applyBorder="1"/>
    <xf numFmtId="0" fontId="7" fillId="0" borderId="0" xfId="0" applyFont="1"/>
    <xf numFmtId="3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9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14" fontId="3" fillId="0" borderId="0" xfId="0" applyNumberFormat="1" applyFont="1"/>
    <xf numFmtId="0" fontId="7" fillId="0" borderId="0" xfId="0" applyFont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3" fontId="9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10" fillId="0" borderId="0" xfId="0" applyFont="1"/>
    <xf numFmtId="14" fontId="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87" fontId="0" fillId="0" borderId="0" xfId="0" applyNumberFormat="1"/>
    <xf numFmtId="0" fontId="15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vertical="center"/>
    </xf>
    <xf numFmtId="9" fontId="0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19" fillId="4" borderId="1" xfId="0" applyNumberFormat="1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4" fontId="27" fillId="2" borderId="0" xfId="2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3" fontId="21" fillId="2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4" fontId="27" fillId="7" borderId="0" xfId="2" applyNumberFormat="1" applyFont="1" applyFill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2" borderId="2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4" fontId="2" fillId="0" borderId="4" xfId="0" applyNumberFormat="1" applyFont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H8" sqref="H8"/>
    </sheetView>
  </sheetViews>
  <sheetFormatPr defaultRowHeight="13.8" x14ac:dyDescent="0.25"/>
  <cols>
    <col min="1" max="1" width="14.796875" customWidth="1"/>
    <col min="2" max="2" width="14.09765625" customWidth="1"/>
    <col min="3" max="3" width="14.19921875" customWidth="1"/>
    <col min="4" max="4" width="23.296875" style="1" bestFit="1" customWidth="1"/>
    <col min="7" max="7" width="9.19921875" bestFit="1" customWidth="1"/>
  </cols>
  <sheetData>
    <row r="1" spans="1:7" ht="27.6" customHeight="1" x14ac:dyDescent="0.3">
      <c r="A1" s="14"/>
      <c r="D1" s="21" t="s">
        <v>27</v>
      </c>
    </row>
    <row r="2" spans="1:7" ht="22.2" x14ac:dyDescent="0.25">
      <c r="A2" s="96" t="s">
        <v>0</v>
      </c>
      <c r="B2" s="96" t="s">
        <v>1</v>
      </c>
      <c r="C2" s="10" t="s">
        <v>9</v>
      </c>
      <c r="D2" s="96" t="s">
        <v>2</v>
      </c>
    </row>
    <row r="3" spans="1:7" ht="22.2" x14ac:dyDescent="0.25">
      <c r="A3" s="97"/>
      <c r="B3" s="97"/>
      <c r="C3" s="11" t="s">
        <v>10</v>
      </c>
      <c r="D3" s="97"/>
    </row>
    <row r="4" spans="1:7" ht="22.2" x14ac:dyDescent="0.35">
      <c r="A4" s="4" t="s">
        <v>3</v>
      </c>
      <c r="B4" s="6">
        <v>310</v>
      </c>
      <c r="C4" s="6">
        <v>248</v>
      </c>
      <c r="D4" s="7"/>
      <c r="G4" s="43"/>
    </row>
    <row r="5" spans="1:7" ht="22.2" x14ac:dyDescent="0.35">
      <c r="A5" s="4" t="s">
        <v>11</v>
      </c>
      <c r="B5" s="6">
        <v>1000</v>
      </c>
      <c r="C5" s="6">
        <v>800</v>
      </c>
      <c r="D5" s="7"/>
    </row>
    <row r="6" spans="1:7" ht="22.2" x14ac:dyDescent="0.35">
      <c r="A6" s="4" t="s">
        <v>32</v>
      </c>
      <c r="B6" s="6">
        <v>330</v>
      </c>
      <c r="C6" s="6">
        <v>264</v>
      </c>
      <c r="D6" s="7"/>
    </row>
    <row r="7" spans="1:7" ht="22.2" x14ac:dyDescent="0.35">
      <c r="A7" s="4" t="s">
        <v>30</v>
      </c>
      <c r="B7" s="6">
        <v>1000</v>
      </c>
      <c r="C7" s="6">
        <v>800</v>
      </c>
      <c r="D7" s="7"/>
    </row>
    <row r="8" spans="1:7" ht="22.2" x14ac:dyDescent="0.35">
      <c r="A8" s="4" t="s">
        <v>12</v>
      </c>
      <c r="B8" s="6">
        <v>600</v>
      </c>
      <c r="C8" s="6">
        <v>480</v>
      </c>
      <c r="D8" s="7"/>
    </row>
    <row r="9" spans="1:7" ht="22.2" x14ac:dyDescent="0.35">
      <c r="A9" s="4" t="s">
        <v>4</v>
      </c>
      <c r="B9" s="6">
        <v>290</v>
      </c>
      <c r="C9" s="6">
        <v>232</v>
      </c>
      <c r="D9" s="7"/>
    </row>
    <row r="10" spans="1:7" ht="22.2" x14ac:dyDescent="0.35">
      <c r="A10" s="4" t="s">
        <v>13</v>
      </c>
      <c r="B10" s="6">
        <v>700</v>
      </c>
      <c r="C10" s="6">
        <v>560</v>
      </c>
      <c r="D10" s="7"/>
    </row>
    <row r="11" spans="1:7" ht="22.2" x14ac:dyDescent="0.35">
      <c r="A11" s="4" t="s">
        <v>14</v>
      </c>
      <c r="B11" s="6">
        <v>1350</v>
      </c>
      <c r="C11" s="6">
        <v>1080</v>
      </c>
      <c r="D11" s="7"/>
    </row>
    <row r="12" spans="1:7" ht="22.2" x14ac:dyDescent="0.35">
      <c r="A12" s="4" t="s">
        <v>15</v>
      </c>
      <c r="B12" s="6">
        <v>600</v>
      </c>
      <c r="C12" s="6">
        <v>480</v>
      </c>
      <c r="D12" s="7"/>
    </row>
    <row r="13" spans="1:7" ht="22.2" x14ac:dyDescent="0.35">
      <c r="A13" s="4" t="s">
        <v>16</v>
      </c>
      <c r="B13" s="6">
        <v>160</v>
      </c>
      <c r="C13" s="6">
        <v>128</v>
      </c>
      <c r="D13" s="7"/>
    </row>
    <row r="14" spans="1:7" ht="22.2" x14ac:dyDescent="0.35">
      <c r="A14" s="4" t="s">
        <v>17</v>
      </c>
      <c r="B14" s="6">
        <v>600</v>
      </c>
      <c r="C14" s="6">
        <v>480</v>
      </c>
      <c r="D14" s="7"/>
    </row>
    <row r="15" spans="1:7" ht="22.2" x14ac:dyDescent="0.35">
      <c r="A15" s="4" t="s">
        <v>18</v>
      </c>
      <c r="B15" s="6">
        <v>200</v>
      </c>
      <c r="C15" s="6">
        <v>160</v>
      </c>
      <c r="D15" s="7"/>
    </row>
    <row r="16" spans="1:7" ht="22.2" x14ac:dyDescent="0.35">
      <c r="A16" s="4" t="s">
        <v>19</v>
      </c>
      <c r="B16" s="6">
        <v>1800</v>
      </c>
      <c r="C16" s="12">
        <v>1800</v>
      </c>
      <c r="D16" s="7" t="s">
        <v>7</v>
      </c>
    </row>
    <row r="17" spans="1:4" ht="22.2" x14ac:dyDescent="0.35">
      <c r="A17" s="4" t="s">
        <v>20</v>
      </c>
      <c r="B17" s="6">
        <v>800</v>
      </c>
      <c r="C17" s="12">
        <v>200</v>
      </c>
      <c r="D17" s="22" t="s">
        <v>28</v>
      </c>
    </row>
    <row r="18" spans="1:4" ht="22.2" x14ac:dyDescent="0.35">
      <c r="A18" s="16" t="s">
        <v>23</v>
      </c>
      <c r="B18" s="17">
        <f>SUM(B14:B17)</f>
        <v>3400</v>
      </c>
      <c r="C18" s="18">
        <f>SUM(C14:C17)</f>
        <v>2640</v>
      </c>
      <c r="D18" s="19"/>
    </row>
    <row r="19" spans="1:4" ht="22.2" x14ac:dyDescent="0.35">
      <c r="A19" s="4" t="s">
        <v>21</v>
      </c>
      <c r="B19" s="6">
        <v>300</v>
      </c>
      <c r="C19" s="6">
        <v>260</v>
      </c>
      <c r="D19" s="7"/>
    </row>
    <row r="20" spans="1:4" ht="22.2" x14ac:dyDescent="0.35">
      <c r="A20" s="4" t="s">
        <v>29</v>
      </c>
      <c r="B20" s="6">
        <v>300</v>
      </c>
      <c r="C20" s="6">
        <v>260</v>
      </c>
      <c r="D20" s="7"/>
    </row>
    <row r="21" spans="1:4" ht="22.2" x14ac:dyDescent="0.35">
      <c r="A21" s="4" t="s">
        <v>22</v>
      </c>
      <c r="B21" s="6">
        <v>700</v>
      </c>
      <c r="C21" s="6">
        <v>560</v>
      </c>
      <c r="D21" s="7"/>
    </row>
    <row r="22" spans="1:4" ht="22.2" x14ac:dyDescent="0.35">
      <c r="A22" s="4" t="s">
        <v>5</v>
      </c>
      <c r="B22" s="6">
        <v>1200</v>
      </c>
      <c r="C22" s="6">
        <v>960</v>
      </c>
      <c r="D22" s="7"/>
    </row>
    <row r="23" spans="1:4" ht="22.2" x14ac:dyDescent="0.35">
      <c r="A23" s="4" t="s">
        <v>31</v>
      </c>
      <c r="B23" s="6">
        <v>1300</v>
      </c>
      <c r="C23" s="6">
        <v>1040</v>
      </c>
      <c r="D23" s="7"/>
    </row>
    <row r="24" spans="1:4" ht="22.2" x14ac:dyDescent="0.35">
      <c r="A24" s="8" t="s">
        <v>6</v>
      </c>
      <c r="B24" s="9">
        <f>SUM(B4:B23)-B18</f>
        <v>13540</v>
      </c>
      <c r="C24" s="9">
        <f>SUM(C4:C23)-C18</f>
        <v>10792</v>
      </c>
      <c r="D24" s="13" t="s">
        <v>8</v>
      </c>
    </row>
    <row r="25" spans="1:4" ht="22.2" x14ac:dyDescent="0.35">
      <c r="A25" s="3" t="s">
        <v>24</v>
      </c>
      <c r="B25" s="5"/>
      <c r="C25" s="5"/>
      <c r="D25" s="15"/>
    </row>
    <row r="26" spans="1:4" ht="15" x14ac:dyDescent="0.25">
      <c r="A26" s="20" t="s">
        <v>26</v>
      </c>
    </row>
    <row r="27" spans="1:4" ht="15" x14ac:dyDescent="0.25">
      <c r="A27" s="2" t="s">
        <v>25</v>
      </c>
    </row>
  </sheetData>
  <mergeCells count="3">
    <mergeCell ref="A2:A3"/>
    <mergeCell ref="B2:B3"/>
    <mergeCell ref="D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sqref="A1:XFD17"/>
    </sheetView>
  </sheetViews>
  <sheetFormatPr defaultRowHeight="13.8" x14ac:dyDescent="0.25"/>
  <cols>
    <col min="1" max="1" width="16.796875" style="24" customWidth="1"/>
    <col min="2" max="2" width="14.09765625" style="24" customWidth="1"/>
    <col min="3" max="3" width="14.19921875" style="24" customWidth="1"/>
    <col min="4" max="4" width="23.296875" style="41" bestFit="1" customWidth="1"/>
    <col min="5" max="16384" width="8.796875" style="24"/>
  </cols>
  <sheetData>
    <row r="1" spans="1:4" ht="27.6" customHeight="1" x14ac:dyDescent="0.25">
      <c r="A1" s="23"/>
      <c r="D1" s="21" t="s">
        <v>34</v>
      </c>
    </row>
    <row r="2" spans="1:4" ht="21" customHeight="1" x14ac:dyDescent="0.25">
      <c r="A2" s="96" t="s">
        <v>0</v>
      </c>
      <c r="B2" s="96" t="s">
        <v>1</v>
      </c>
      <c r="C2" s="10" t="s">
        <v>9</v>
      </c>
      <c r="D2" s="96" t="s">
        <v>2</v>
      </c>
    </row>
    <row r="3" spans="1:4" ht="22.2" x14ac:dyDescent="0.25">
      <c r="A3" s="97"/>
      <c r="B3" s="97"/>
      <c r="C3" s="11" t="s">
        <v>10</v>
      </c>
      <c r="D3" s="97"/>
    </row>
    <row r="4" spans="1:4" ht="22.2" x14ac:dyDescent="0.25">
      <c r="A4" s="25" t="s">
        <v>3</v>
      </c>
      <c r="B4" s="26">
        <v>200</v>
      </c>
      <c r="C4" s="26">
        <v>160</v>
      </c>
      <c r="D4" s="27"/>
    </row>
    <row r="5" spans="1:4" ht="22.2" x14ac:dyDescent="0.25">
      <c r="A5" s="25" t="s">
        <v>11</v>
      </c>
      <c r="B5" s="26">
        <v>600</v>
      </c>
      <c r="C5" s="26">
        <v>480</v>
      </c>
      <c r="D5" s="27"/>
    </row>
    <row r="6" spans="1:4" ht="22.2" x14ac:dyDescent="0.25">
      <c r="A6" s="25" t="s">
        <v>13</v>
      </c>
      <c r="B6" s="26">
        <v>500</v>
      </c>
      <c r="C6" s="26">
        <v>400</v>
      </c>
      <c r="D6" s="27"/>
    </row>
    <row r="7" spans="1:4" ht="22.2" x14ac:dyDescent="0.25">
      <c r="A7" s="25" t="s">
        <v>22</v>
      </c>
      <c r="B7" s="26">
        <v>200</v>
      </c>
      <c r="C7" s="26">
        <v>160</v>
      </c>
      <c r="D7" s="27"/>
    </row>
    <row r="8" spans="1:4" ht="22.2" x14ac:dyDescent="0.25">
      <c r="A8" s="25" t="s">
        <v>21</v>
      </c>
      <c r="B8" s="26">
        <v>500</v>
      </c>
      <c r="C8" s="26">
        <v>400</v>
      </c>
      <c r="D8" s="27"/>
    </row>
    <row r="9" spans="1:4" ht="22.2" x14ac:dyDescent="0.25">
      <c r="A9" s="25" t="s">
        <v>35</v>
      </c>
      <c r="B9" s="26">
        <v>300</v>
      </c>
      <c r="C9" s="26">
        <v>240</v>
      </c>
      <c r="D9" s="27"/>
    </row>
    <row r="10" spans="1:4" ht="22.2" x14ac:dyDescent="0.25">
      <c r="A10" s="25" t="s">
        <v>17</v>
      </c>
      <c r="B10" s="26">
        <v>600</v>
      </c>
      <c r="C10" s="26">
        <v>480</v>
      </c>
      <c r="D10" s="27"/>
    </row>
    <row r="11" spans="1:4" ht="22.2" x14ac:dyDescent="0.25">
      <c r="A11" s="25" t="s">
        <v>18</v>
      </c>
      <c r="B11" s="26">
        <v>2000</v>
      </c>
      <c r="C11" s="26">
        <v>2000</v>
      </c>
      <c r="D11" s="29" t="s">
        <v>7</v>
      </c>
    </row>
    <row r="12" spans="1:4" ht="22.2" x14ac:dyDescent="0.25">
      <c r="A12" s="25" t="s">
        <v>19</v>
      </c>
      <c r="B12" s="26">
        <f>880+400</f>
        <v>1280</v>
      </c>
      <c r="C12" s="28">
        <f>704+400</f>
        <v>1104</v>
      </c>
      <c r="D12" s="29" t="s">
        <v>33</v>
      </c>
    </row>
    <row r="13" spans="1:4" ht="22.2" x14ac:dyDescent="0.25">
      <c r="A13" s="30" t="s">
        <v>23</v>
      </c>
      <c r="B13" s="31">
        <f>SUM(B10:B12)</f>
        <v>3880</v>
      </c>
      <c r="C13" s="32">
        <f>SUM(C10:C12)</f>
        <v>3584</v>
      </c>
      <c r="D13" s="33"/>
    </row>
    <row r="14" spans="1:4" ht="22.2" x14ac:dyDescent="0.25">
      <c r="A14" s="34" t="s">
        <v>6</v>
      </c>
      <c r="B14" s="35">
        <f>SUM(B4:B13)-B13</f>
        <v>6180</v>
      </c>
      <c r="C14" s="35">
        <f>SUM(C4:C13)-C13</f>
        <v>5424</v>
      </c>
      <c r="D14" s="36"/>
    </row>
    <row r="15" spans="1:4" ht="22.2" x14ac:dyDescent="0.25">
      <c r="A15" s="37" t="s">
        <v>24</v>
      </c>
      <c r="B15" s="38"/>
      <c r="C15" s="38"/>
      <c r="D15" s="39"/>
    </row>
    <row r="16" spans="1:4" ht="15" x14ac:dyDescent="0.25">
      <c r="A16" s="40" t="s">
        <v>26</v>
      </c>
    </row>
    <row r="17" spans="1:1" ht="15" x14ac:dyDescent="0.25">
      <c r="A17" s="42" t="s">
        <v>25</v>
      </c>
    </row>
  </sheetData>
  <mergeCells count="3">
    <mergeCell ref="A2:A3"/>
    <mergeCell ref="B2:B3"/>
    <mergeCell ref="D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D4" sqref="D4:D5"/>
    </sheetView>
  </sheetViews>
  <sheetFormatPr defaultRowHeight="13.8" x14ac:dyDescent="0.25"/>
  <cols>
    <col min="1" max="1" width="36" style="24" bestFit="1" customWidth="1"/>
    <col min="2" max="2" width="14.09765625" style="24" customWidth="1"/>
    <col min="3" max="3" width="14.19921875" style="24" customWidth="1"/>
    <col min="4" max="4" width="35.3984375" style="41" customWidth="1"/>
    <col min="5" max="16384" width="8.796875" style="24"/>
  </cols>
  <sheetData>
    <row r="1" spans="1:7" ht="27.6" customHeight="1" x14ac:dyDescent="0.25">
      <c r="A1" s="23"/>
      <c r="D1" s="95" t="s">
        <v>36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22.2" x14ac:dyDescent="0.25">
      <c r="A4" s="44" t="s">
        <v>4</v>
      </c>
      <c r="B4" s="26">
        <v>500</v>
      </c>
      <c r="C4" s="26">
        <f>B4*0.8</f>
        <v>400</v>
      </c>
      <c r="D4" s="101" t="s">
        <v>44</v>
      </c>
      <c r="E4" s="99"/>
    </row>
    <row r="5" spans="1:7" ht="22.2" x14ac:dyDescent="0.25">
      <c r="A5" s="44" t="s">
        <v>40</v>
      </c>
      <c r="B5" s="26">
        <v>400</v>
      </c>
      <c r="C5" s="26">
        <f t="shared" ref="C5:C19" si="0">B5*0.8</f>
        <v>320</v>
      </c>
      <c r="D5" s="102"/>
      <c r="E5" s="100"/>
    </row>
    <row r="6" spans="1:7" ht="22.2" x14ac:dyDescent="0.25">
      <c r="A6" s="44" t="s">
        <v>11</v>
      </c>
      <c r="B6" s="26">
        <v>660</v>
      </c>
      <c r="C6" s="26">
        <f t="shared" si="0"/>
        <v>528</v>
      </c>
      <c r="D6" s="53"/>
      <c r="E6" s="29" t="s">
        <v>46</v>
      </c>
    </row>
    <row r="7" spans="1:7" ht="22.2" x14ac:dyDescent="0.25">
      <c r="A7" s="44" t="s">
        <v>39</v>
      </c>
      <c r="B7" s="26">
        <v>240</v>
      </c>
      <c r="C7" s="26">
        <f t="shared" si="0"/>
        <v>192</v>
      </c>
      <c r="D7" s="53"/>
      <c r="E7" s="29" t="s">
        <v>46</v>
      </c>
    </row>
    <row r="8" spans="1:7" ht="22.2" x14ac:dyDescent="0.25">
      <c r="A8" s="44" t="s">
        <v>5</v>
      </c>
      <c r="B8" s="26">
        <v>1000</v>
      </c>
      <c r="C8" s="26">
        <f t="shared" si="0"/>
        <v>800</v>
      </c>
      <c r="D8" s="53"/>
      <c r="E8" s="29" t="s">
        <v>46</v>
      </c>
    </row>
    <row r="9" spans="1:7" ht="22.2" x14ac:dyDescent="0.25">
      <c r="A9" s="44" t="s">
        <v>37</v>
      </c>
      <c r="B9" s="26">
        <v>200</v>
      </c>
      <c r="C9" s="26">
        <f t="shared" si="0"/>
        <v>160</v>
      </c>
      <c r="D9" s="53"/>
      <c r="E9" s="62"/>
    </row>
    <row r="10" spans="1:7" ht="22.2" x14ac:dyDescent="0.25">
      <c r="A10" s="44" t="s">
        <v>38</v>
      </c>
      <c r="B10" s="26">
        <v>100</v>
      </c>
      <c r="C10" s="26">
        <f t="shared" si="0"/>
        <v>80</v>
      </c>
      <c r="D10" s="53"/>
      <c r="E10" s="29" t="s">
        <v>46</v>
      </c>
    </row>
    <row r="11" spans="1:7" ht="22.2" x14ac:dyDescent="0.25">
      <c r="A11" s="44" t="s">
        <v>22</v>
      </c>
      <c r="B11" s="26">
        <v>700</v>
      </c>
      <c r="C11" s="26">
        <f t="shared" si="0"/>
        <v>560</v>
      </c>
      <c r="D11" s="53"/>
      <c r="E11" s="62"/>
    </row>
    <row r="12" spans="1:7" ht="22.2" x14ac:dyDescent="0.25">
      <c r="A12" s="44" t="s">
        <v>13</v>
      </c>
      <c r="B12" s="26">
        <v>400</v>
      </c>
      <c r="C12" s="26">
        <f t="shared" si="0"/>
        <v>320</v>
      </c>
      <c r="D12" s="53"/>
      <c r="E12" s="62"/>
    </row>
    <row r="13" spans="1:7" ht="22.2" x14ac:dyDescent="0.25">
      <c r="A13" s="57" t="s">
        <v>3</v>
      </c>
      <c r="B13" s="28">
        <v>0</v>
      </c>
      <c r="C13" s="28">
        <v>0</v>
      </c>
      <c r="D13" s="58" t="s">
        <v>42</v>
      </c>
      <c r="E13" s="62"/>
    </row>
    <row r="14" spans="1:7" ht="22.2" x14ac:dyDescent="0.25">
      <c r="A14" s="44" t="s">
        <v>21</v>
      </c>
      <c r="B14" s="26">
        <v>700</v>
      </c>
      <c r="C14" s="26">
        <f t="shared" si="0"/>
        <v>560</v>
      </c>
      <c r="D14" s="53"/>
      <c r="E14" s="62"/>
      <c r="G14" s="52"/>
    </row>
    <row r="15" spans="1:7" ht="22.2" x14ac:dyDescent="0.25">
      <c r="A15" s="44" t="s">
        <v>14</v>
      </c>
      <c r="B15" s="26">
        <v>550</v>
      </c>
      <c r="C15" s="26">
        <f t="shared" si="0"/>
        <v>440</v>
      </c>
      <c r="D15" s="53"/>
      <c r="E15" s="62"/>
    </row>
    <row r="16" spans="1:7" ht="22.2" x14ac:dyDescent="0.25">
      <c r="A16" s="47" t="s">
        <v>6</v>
      </c>
      <c r="B16" s="48">
        <f>SUM(B4:B15)</f>
        <v>5450</v>
      </c>
      <c r="C16" s="48">
        <f>SUM(C4:C15)</f>
        <v>4360</v>
      </c>
      <c r="D16" s="54"/>
      <c r="E16" s="54"/>
    </row>
    <row r="17" spans="1:5" ht="22.2" x14ac:dyDescent="0.25">
      <c r="A17" s="44" t="s">
        <v>17</v>
      </c>
      <c r="B17" s="26">
        <v>700</v>
      </c>
      <c r="C17" s="26">
        <f t="shared" si="0"/>
        <v>560</v>
      </c>
      <c r="D17" s="53"/>
      <c r="E17" s="61"/>
    </row>
    <row r="18" spans="1:5" ht="22.2" x14ac:dyDescent="0.25">
      <c r="A18" s="57" t="s">
        <v>18</v>
      </c>
      <c r="B18" s="28">
        <v>0</v>
      </c>
      <c r="C18" s="28">
        <v>0</v>
      </c>
      <c r="D18" s="58" t="s">
        <v>43</v>
      </c>
      <c r="E18" s="61"/>
    </row>
    <row r="19" spans="1:5" ht="22.2" x14ac:dyDescent="0.25">
      <c r="A19" s="44" t="s">
        <v>19</v>
      </c>
      <c r="B19" s="26">
        <v>160</v>
      </c>
      <c r="C19" s="26">
        <f t="shared" si="0"/>
        <v>128</v>
      </c>
      <c r="D19" s="53"/>
      <c r="E19" s="61"/>
    </row>
    <row r="20" spans="1:5" ht="22.2" x14ac:dyDescent="0.25">
      <c r="A20" s="49" t="s">
        <v>23</v>
      </c>
      <c r="B20" s="50">
        <f>SUM(B17:B19)</f>
        <v>860</v>
      </c>
      <c r="C20" s="51">
        <f>SUM(C17:C19)</f>
        <v>688</v>
      </c>
      <c r="D20" s="55"/>
      <c r="E20" s="55"/>
    </row>
    <row r="21" spans="1:5" ht="22.2" x14ac:dyDescent="0.25">
      <c r="A21" s="45" t="s">
        <v>6</v>
      </c>
      <c r="B21" s="46">
        <f>B16+B20</f>
        <v>6310</v>
      </c>
      <c r="C21" s="46">
        <f>C16+C20</f>
        <v>5048</v>
      </c>
      <c r="D21" s="56"/>
      <c r="E21" s="56"/>
    </row>
    <row r="22" spans="1:5" ht="22.2" x14ac:dyDescent="0.25">
      <c r="A22" s="37" t="s">
        <v>24</v>
      </c>
      <c r="B22" s="38"/>
      <c r="C22" s="38"/>
      <c r="D22" s="39"/>
    </row>
    <row r="23" spans="1:5" ht="15" x14ac:dyDescent="0.25">
      <c r="A23" s="40" t="s">
        <v>26</v>
      </c>
    </row>
    <row r="24" spans="1:5" ht="15" x14ac:dyDescent="0.25">
      <c r="A24" s="42" t="s">
        <v>25</v>
      </c>
    </row>
  </sheetData>
  <mergeCells count="7">
    <mergeCell ref="D1:E1"/>
    <mergeCell ref="E4:E5"/>
    <mergeCell ref="A2:A3"/>
    <mergeCell ref="B2:B3"/>
    <mergeCell ref="D2:D3"/>
    <mergeCell ref="D4:D5"/>
    <mergeCell ref="E2:E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zoomScale="85" zoomScaleNormal="85" workbookViewId="0">
      <selection activeCell="H40" sqref="H40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11" ht="27.6" customHeight="1" x14ac:dyDescent="0.25">
      <c r="A1" s="23"/>
      <c r="D1" s="95" t="s">
        <v>47</v>
      </c>
      <c r="E1" s="95"/>
    </row>
    <row r="2" spans="1:11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11" ht="22.2" x14ac:dyDescent="0.25">
      <c r="A3" s="97"/>
      <c r="B3" s="97"/>
      <c r="C3" s="60" t="s">
        <v>10</v>
      </c>
      <c r="D3" s="97"/>
      <c r="E3" s="98"/>
    </row>
    <row r="4" spans="1:11" ht="30" customHeight="1" x14ac:dyDescent="0.25">
      <c r="A4" s="65" t="s">
        <v>4</v>
      </c>
      <c r="B4" s="28">
        <v>0</v>
      </c>
      <c r="C4" s="28">
        <v>0</v>
      </c>
      <c r="D4" s="58" t="s">
        <v>49</v>
      </c>
      <c r="E4" s="74" t="s">
        <v>73</v>
      </c>
    </row>
    <row r="5" spans="1:11" ht="30" customHeight="1" x14ac:dyDescent="0.25">
      <c r="A5" s="65" t="s">
        <v>51</v>
      </c>
      <c r="B5" s="84">
        <v>200</v>
      </c>
      <c r="C5" s="63">
        <f t="shared" ref="C5" si="0">B5*0.8</f>
        <v>160</v>
      </c>
      <c r="D5" s="101" t="s">
        <v>52</v>
      </c>
      <c r="E5" s="99" t="s">
        <v>46</v>
      </c>
    </row>
    <row r="6" spans="1:11" ht="30" customHeight="1" x14ac:dyDescent="0.25">
      <c r="A6" s="65" t="s">
        <v>32</v>
      </c>
      <c r="B6" s="63">
        <v>480</v>
      </c>
      <c r="C6" s="63">
        <f t="shared" ref="C6:C15" si="1">B6*0.8</f>
        <v>384</v>
      </c>
      <c r="D6" s="102"/>
      <c r="E6" s="100"/>
    </row>
    <row r="7" spans="1:11" ht="30" customHeight="1" x14ac:dyDescent="0.25">
      <c r="A7" s="65" t="s">
        <v>39</v>
      </c>
      <c r="B7" s="84">
        <v>480</v>
      </c>
      <c r="C7" s="63">
        <f t="shared" ref="C7" si="2">B7*0.8</f>
        <v>384</v>
      </c>
      <c r="D7" s="53"/>
      <c r="E7" s="29" t="s">
        <v>46</v>
      </c>
      <c r="J7" s="24">
        <f>480+200</f>
        <v>680</v>
      </c>
      <c r="K7" s="24">
        <f>J7/1.2</f>
        <v>566.66666666666674</v>
      </c>
    </row>
    <row r="8" spans="1:11" ht="30" customHeight="1" x14ac:dyDescent="0.25">
      <c r="A8" s="65" t="s">
        <v>5</v>
      </c>
      <c r="B8" s="84">
        <v>1000</v>
      </c>
      <c r="C8" s="63">
        <f t="shared" si="1"/>
        <v>800</v>
      </c>
      <c r="D8" s="53"/>
      <c r="E8" s="29" t="s">
        <v>46</v>
      </c>
    </row>
    <row r="9" spans="1:11" ht="30" customHeight="1" x14ac:dyDescent="0.25">
      <c r="A9" s="65" t="s">
        <v>38</v>
      </c>
      <c r="B9" s="84">
        <v>100</v>
      </c>
      <c r="C9" s="63">
        <f t="shared" si="1"/>
        <v>80</v>
      </c>
      <c r="D9" s="53"/>
      <c r="E9" s="29" t="s">
        <v>46</v>
      </c>
    </row>
    <row r="10" spans="1:11" ht="30" customHeight="1" x14ac:dyDescent="0.25">
      <c r="A10" s="65" t="s">
        <v>22</v>
      </c>
      <c r="B10" s="84">
        <v>700</v>
      </c>
      <c r="C10" s="63">
        <f t="shared" si="1"/>
        <v>560</v>
      </c>
      <c r="D10" s="53"/>
      <c r="E10" s="29" t="s">
        <v>46</v>
      </c>
    </row>
    <row r="11" spans="1:11" ht="30" customHeight="1" x14ac:dyDescent="0.25">
      <c r="A11" s="65" t="s">
        <v>13</v>
      </c>
      <c r="B11" s="84">
        <v>600</v>
      </c>
      <c r="C11" s="63">
        <v>0</v>
      </c>
      <c r="D11" s="73" t="s">
        <v>71</v>
      </c>
      <c r="E11" s="69" t="s">
        <v>72</v>
      </c>
    </row>
    <row r="12" spans="1:11" ht="30" customHeight="1" x14ac:dyDescent="0.25">
      <c r="A12" s="65" t="s">
        <v>3</v>
      </c>
      <c r="B12" s="84">
        <v>140</v>
      </c>
      <c r="C12" s="63">
        <f t="shared" si="1"/>
        <v>112</v>
      </c>
      <c r="D12" s="58"/>
      <c r="E12" s="29" t="s">
        <v>46</v>
      </c>
    </row>
    <row r="13" spans="1:11" ht="30" customHeight="1" x14ac:dyDescent="0.25">
      <c r="A13" s="65" t="s">
        <v>21</v>
      </c>
      <c r="B13" s="84">
        <v>600</v>
      </c>
      <c r="C13" s="63">
        <f t="shared" si="1"/>
        <v>480</v>
      </c>
      <c r="D13" s="53"/>
      <c r="E13" s="29"/>
      <c r="G13" s="52"/>
    </row>
    <row r="14" spans="1:11" ht="30" customHeight="1" x14ac:dyDescent="0.25">
      <c r="A14" s="65" t="s">
        <v>14</v>
      </c>
      <c r="B14" s="84">
        <v>350</v>
      </c>
      <c r="C14" s="63">
        <f t="shared" si="1"/>
        <v>280</v>
      </c>
      <c r="D14" s="53"/>
      <c r="E14" s="29" t="s">
        <v>46</v>
      </c>
    </row>
    <row r="15" spans="1:11" ht="30" customHeight="1" x14ac:dyDescent="0.25">
      <c r="A15" s="65" t="s">
        <v>31</v>
      </c>
      <c r="B15" s="84">
        <v>1100</v>
      </c>
      <c r="C15" s="63">
        <f t="shared" si="1"/>
        <v>880</v>
      </c>
      <c r="D15" s="53"/>
      <c r="E15" s="29" t="s">
        <v>46</v>
      </c>
    </row>
    <row r="16" spans="1:11" ht="30" customHeight="1" x14ac:dyDescent="0.25">
      <c r="A16" s="47" t="s">
        <v>6</v>
      </c>
      <c r="B16" s="48">
        <f>SUM(B4:B15)</f>
        <v>5750</v>
      </c>
      <c r="C16" s="48">
        <f>SUM(C4:C15)</f>
        <v>4120</v>
      </c>
      <c r="D16" s="54"/>
      <c r="E16" s="54"/>
    </row>
    <row r="17" spans="1:5" ht="30" customHeight="1" x14ac:dyDescent="0.25">
      <c r="A17" s="44" t="s">
        <v>17</v>
      </c>
      <c r="B17" s="85">
        <v>550</v>
      </c>
      <c r="C17" s="26">
        <v>0</v>
      </c>
      <c r="D17" s="53" t="s">
        <v>74</v>
      </c>
      <c r="E17" s="69" t="s">
        <v>60</v>
      </c>
    </row>
    <row r="18" spans="1:5" ht="30" customHeight="1" x14ac:dyDescent="0.25">
      <c r="A18" s="57" t="s">
        <v>18</v>
      </c>
      <c r="B18" s="28">
        <v>0</v>
      </c>
      <c r="C18" s="28">
        <v>0</v>
      </c>
      <c r="D18" s="58" t="s">
        <v>43</v>
      </c>
      <c r="E18" s="74" t="s">
        <v>73</v>
      </c>
    </row>
    <row r="19" spans="1:5" ht="30" customHeight="1" x14ac:dyDescent="0.25">
      <c r="A19" s="57" t="s">
        <v>19</v>
      </c>
      <c r="B19" s="28">
        <v>0</v>
      </c>
      <c r="C19" s="28">
        <v>0</v>
      </c>
      <c r="D19" s="58" t="s">
        <v>48</v>
      </c>
      <c r="E19" s="74" t="s">
        <v>73</v>
      </c>
    </row>
    <row r="20" spans="1:5" ht="30" customHeight="1" x14ac:dyDescent="0.25">
      <c r="A20" s="49" t="s">
        <v>23</v>
      </c>
      <c r="B20" s="50">
        <f>SUM(B17:B19)</f>
        <v>550</v>
      </c>
      <c r="C20" s="64">
        <f>SUM(C17:C19)</f>
        <v>0</v>
      </c>
      <c r="D20" s="55"/>
      <c r="E20" s="55"/>
    </row>
    <row r="21" spans="1:5" ht="30" customHeight="1" x14ac:dyDescent="0.25">
      <c r="A21" s="45" t="s">
        <v>6</v>
      </c>
      <c r="B21" s="46">
        <f>B16+B20</f>
        <v>6300</v>
      </c>
      <c r="C21" s="46">
        <f>C16+C20</f>
        <v>4120</v>
      </c>
      <c r="D21" s="56"/>
      <c r="E21" s="56"/>
    </row>
    <row r="22" spans="1:5" s="66" customFormat="1" ht="30" customHeight="1" x14ac:dyDescent="0.25">
      <c r="A22" s="66" t="s">
        <v>24</v>
      </c>
      <c r="C22" s="70"/>
      <c r="D22" s="68"/>
    </row>
    <row r="23" spans="1:5" s="66" customFormat="1" ht="30" customHeight="1" x14ac:dyDescent="0.25">
      <c r="A23" s="67" t="s">
        <v>50</v>
      </c>
      <c r="D23" s="68"/>
    </row>
    <row r="24" spans="1:5" s="66" customFormat="1" ht="30" customHeight="1" x14ac:dyDescent="0.25">
      <c r="A24" s="66" t="s">
        <v>25</v>
      </c>
      <c r="D24" s="68"/>
    </row>
    <row r="26" spans="1:5" s="37" customFormat="1" ht="28.05" customHeight="1" x14ac:dyDescent="0.25">
      <c r="A26" s="75" t="s">
        <v>59</v>
      </c>
      <c r="D26" s="76"/>
    </row>
    <row r="27" spans="1:5" s="37" customFormat="1" ht="28.05" customHeight="1" x14ac:dyDescent="0.25">
      <c r="A27" s="37" t="s">
        <v>76</v>
      </c>
      <c r="D27" s="76"/>
    </row>
    <row r="28" spans="1:5" s="37" customFormat="1" ht="28.05" customHeight="1" x14ac:dyDescent="0.25">
      <c r="A28" s="37" t="s">
        <v>75</v>
      </c>
      <c r="D28" s="76"/>
    </row>
    <row r="29" spans="1:5" s="37" customFormat="1" ht="28.05" customHeight="1" x14ac:dyDescent="0.25">
      <c r="A29" s="80" t="s">
        <v>53</v>
      </c>
      <c r="D29" s="76"/>
    </row>
    <row r="30" spans="1:5" s="37" customFormat="1" ht="28.05" customHeight="1" x14ac:dyDescent="0.25">
      <c r="A30" s="37" t="s">
        <v>54</v>
      </c>
      <c r="D30" s="76"/>
    </row>
    <row r="31" spans="1:5" s="37" customFormat="1" ht="28.05" customHeight="1" x14ac:dyDescent="0.25">
      <c r="A31" s="37" t="s">
        <v>55</v>
      </c>
      <c r="D31" s="76"/>
    </row>
    <row r="32" spans="1:5" s="37" customFormat="1" ht="28.05" customHeight="1" x14ac:dyDescent="0.25">
      <c r="A32" s="75" t="s">
        <v>56</v>
      </c>
      <c r="D32" s="76"/>
    </row>
    <row r="33" spans="1:4" s="37" customFormat="1" ht="28.05" customHeight="1" x14ac:dyDescent="0.25">
      <c r="A33" s="83" t="s">
        <v>57</v>
      </c>
      <c r="D33" s="76"/>
    </row>
    <row r="34" spans="1:4" s="37" customFormat="1" ht="17.399999999999999" x14ac:dyDescent="0.25">
      <c r="A34" s="78" t="s">
        <v>58</v>
      </c>
      <c r="D34" s="76"/>
    </row>
    <row r="35" spans="1:4" s="37" customFormat="1" ht="28.05" customHeight="1" x14ac:dyDescent="0.25">
      <c r="D35" s="76"/>
    </row>
    <row r="36" spans="1:4" s="37" customFormat="1" ht="28.05" customHeight="1" x14ac:dyDescent="0.25">
      <c r="A36" s="75" t="s">
        <v>69</v>
      </c>
      <c r="D36" s="76"/>
    </row>
    <row r="37" spans="1:4" s="37" customFormat="1" ht="28.05" customHeight="1" x14ac:dyDescent="0.25">
      <c r="A37" s="37" t="s">
        <v>77</v>
      </c>
      <c r="D37" s="76"/>
    </row>
    <row r="38" spans="1:4" s="37" customFormat="1" ht="28.05" customHeight="1" x14ac:dyDescent="0.25">
      <c r="A38" s="37" t="s">
        <v>78</v>
      </c>
      <c r="D38" s="76"/>
    </row>
    <row r="39" spans="1:4" s="37" customFormat="1" ht="28.05" customHeight="1" x14ac:dyDescent="0.25">
      <c r="A39" s="80" t="s">
        <v>53</v>
      </c>
      <c r="D39" s="76"/>
    </row>
    <row r="40" spans="1:4" s="37" customFormat="1" ht="28.05" customHeight="1" x14ac:dyDescent="0.25">
      <c r="A40" s="37" t="s">
        <v>61</v>
      </c>
      <c r="D40" s="76"/>
    </row>
    <row r="41" spans="1:4" s="37" customFormat="1" ht="28.05" customHeight="1" x14ac:dyDescent="0.25">
      <c r="A41" s="37" t="s">
        <v>62</v>
      </c>
      <c r="D41" s="76"/>
    </row>
    <row r="42" spans="1:4" s="37" customFormat="1" ht="28.05" customHeight="1" x14ac:dyDescent="0.25">
      <c r="A42" s="37" t="s">
        <v>79</v>
      </c>
      <c r="D42" s="76"/>
    </row>
    <row r="43" spans="1:4" s="37" customFormat="1" ht="28.05" customHeight="1" x14ac:dyDescent="0.25">
      <c r="A43" s="37" t="s">
        <v>63</v>
      </c>
      <c r="D43" s="76"/>
    </row>
    <row r="44" spans="1:4" s="37" customFormat="1" ht="28.05" customHeight="1" x14ac:dyDescent="0.25">
      <c r="A44" s="37" t="s">
        <v>64</v>
      </c>
      <c r="D44" s="76"/>
    </row>
    <row r="45" spans="1:4" s="37" customFormat="1" ht="28.05" customHeight="1" x14ac:dyDescent="0.25">
      <c r="A45" s="77" t="s">
        <v>65</v>
      </c>
      <c r="D45" s="76"/>
    </row>
    <row r="46" spans="1:4" s="37" customFormat="1" ht="28.05" customHeight="1" x14ac:dyDescent="0.25">
      <c r="A46" s="37" t="s">
        <v>66</v>
      </c>
      <c r="D46" s="76"/>
    </row>
    <row r="47" spans="1:4" s="37" customFormat="1" ht="28.05" customHeight="1" x14ac:dyDescent="0.25">
      <c r="A47" s="79" t="s">
        <v>67</v>
      </c>
      <c r="D47" s="76"/>
    </row>
    <row r="48" spans="1:4" s="37" customFormat="1" ht="28.05" customHeight="1" x14ac:dyDescent="0.25">
      <c r="A48" s="75" t="s">
        <v>68</v>
      </c>
      <c r="D48" s="76"/>
    </row>
    <row r="49" spans="1:4" s="37" customFormat="1" ht="28.05" customHeight="1" x14ac:dyDescent="0.25">
      <c r="A49" s="82" t="s">
        <v>80</v>
      </c>
      <c r="D49" s="76"/>
    </row>
    <row r="50" spans="1:4" s="37" customFormat="1" ht="28.05" customHeight="1" x14ac:dyDescent="0.25">
      <c r="A50" s="78" t="s">
        <v>58</v>
      </c>
      <c r="D50" s="76"/>
    </row>
    <row r="51" spans="1:4" s="37" customFormat="1" ht="28.05" customHeight="1" x14ac:dyDescent="0.25">
      <c r="D51" s="76"/>
    </row>
    <row r="52" spans="1:4" s="37" customFormat="1" ht="28.05" customHeight="1" x14ac:dyDescent="0.25">
      <c r="A52" s="37" t="s">
        <v>70</v>
      </c>
      <c r="D52" s="76"/>
    </row>
    <row r="53" spans="1:4" s="37" customFormat="1" ht="28.05" customHeight="1" x14ac:dyDescent="0.25">
      <c r="A53" s="81">
        <f>1530+2420</f>
        <v>3950</v>
      </c>
      <c r="D53" s="76"/>
    </row>
  </sheetData>
  <mergeCells count="7">
    <mergeCell ref="D5:D6"/>
    <mergeCell ref="E5:E6"/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zoomScale="85" zoomScaleNormal="85" workbookViewId="0">
      <selection activeCell="C17" sqref="C17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7" ht="27.6" customHeight="1" x14ac:dyDescent="0.25">
      <c r="A1" s="23"/>
      <c r="D1" s="95" t="s">
        <v>91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4</v>
      </c>
      <c r="B4" s="26">
        <v>500</v>
      </c>
      <c r="C4" s="26">
        <f>B4*0.8</f>
        <v>400</v>
      </c>
      <c r="D4" s="58"/>
      <c r="E4" s="71"/>
    </row>
    <row r="5" spans="1:7" ht="30" customHeight="1" x14ac:dyDescent="0.25">
      <c r="A5" s="65" t="s">
        <v>11</v>
      </c>
      <c r="B5" s="26">
        <v>540</v>
      </c>
      <c r="C5" s="26">
        <f t="shared" ref="C5:C13" si="0">B5*0.8</f>
        <v>432</v>
      </c>
      <c r="D5" s="72"/>
      <c r="E5" s="71"/>
    </row>
    <row r="6" spans="1:7" ht="30" customHeight="1" x14ac:dyDescent="0.25">
      <c r="A6" s="65" t="s">
        <v>5</v>
      </c>
      <c r="B6" s="26">
        <v>1000</v>
      </c>
      <c r="C6" s="26">
        <f t="shared" si="0"/>
        <v>800</v>
      </c>
      <c r="D6" s="53"/>
      <c r="E6" s="29"/>
    </row>
    <row r="7" spans="1:7" ht="30" customHeight="1" x14ac:dyDescent="0.25">
      <c r="A7" s="65" t="s">
        <v>22</v>
      </c>
      <c r="B7" s="26">
        <v>700</v>
      </c>
      <c r="C7" s="26">
        <f t="shared" si="0"/>
        <v>560</v>
      </c>
      <c r="D7" s="53"/>
      <c r="E7" s="29"/>
    </row>
    <row r="8" spans="1:7" ht="30" customHeight="1" x14ac:dyDescent="0.25">
      <c r="A8" s="65" t="s">
        <v>3</v>
      </c>
      <c r="B8" s="26">
        <v>180</v>
      </c>
      <c r="C8" s="26">
        <f t="shared" si="0"/>
        <v>144</v>
      </c>
      <c r="D8" s="58"/>
      <c r="E8" s="29"/>
    </row>
    <row r="9" spans="1:7" ht="30" customHeight="1" x14ac:dyDescent="0.25">
      <c r="A9" s="65" t="s">
        <v>21</v>
      </c>
      <c r="B9" s="26">
        <v>600</v>
      </c>
      <c r="C9" s="26">
        <f t="shared" si="0"/>
        <v>480</v>
      </c>
      <c r="D9" s="53"/>
      <c r="E9" s="29"/>
      <c r="G9" s="52"/>
    </row>
    <row r="10" spans="1:7" ht="30" customHeight="1" x14ac:dyDescent="0.25">
      <c r="A10" s="47" t="s">
        <v>6</v>
      </c>
      <c r="B10" s="48">
        <f>SUM(B4:B9)</f>
        <v>3520</v>
      </c>
      <c r="C10" s="48">
        <f>SUM(C4:C9)</f>
        <v>2816</v>
      </c>
      <c r="D10" s="54"/>
      <c r="E10" s="54"/>
    </row>
    <row r="11" spans="1:7" ht="30" customHeight="1" x14ac:dyDescent="0.25">
      <c r="A11" s="44" t="s">
        <v>18</v>
      </c>
      <c r="B11" s="26">
        <v>1400</v>
      </c>
      <c r="C11" s="26">
        <f t="shared" si="0"/>
        <v>1120</v>
      </c>
      <c r="D11" s="53"/>
      <c r="E11" s="69"/>
    </row>
    <row r="12" spans="1:7" ht="30" customHeight="1" x14ac:dyDescent="0.25">
      <c r="A12" s="44" t="s">
        <v>20</v>
      </c>
      <c r="B12" s="26">
        <v>600</v>
      </c>
      <c r="C12" s="26">
        <f t="shared" si="0"/>
        <v>480</v>
      </c>
      <c r="D12" s="58"/>
      <c r="E12" s="69"/>
    </row>
    <row r="13" spans="1:7" ht="30" customHeight="1" x14ac:dyDescent="0.25">
      <c r="A13" s="44" t="s">
        <v>81</v>
      </c>
      <c r="B13" s="26">
        <v>320</v>
      </c>
      <c r="C13" s="26">
        <f t="shared" si="0"/>
        <v>256</v>
      </c>
      <c r="D13" s="58"/>
      <c r="E13" s="69"/>
    </row>
    <row r="14" spans="1:7" ht="30" customHeight="1" x14ac:dyDescent="0.25">
      <c r="A14" s="49" t="s">
        <v>23</v>
      </c>
      <c r="B14" s="50">
        <f>SUM(B11:B13)</f>
        <v>2320</v>
      </c>
      <c r="C14" s="64">
        <f>SUM(C11:C13)</f>
        <v>1856</v>
      </c>
      <c r="D14" s="55"/>
      <c r="E14" s="55"/>
    </row>
    <row r="15" spans="1:7" ht="30" customHeight="1" x14ac:dyDescent="0.25">
      <c r="A15" s="45" t="s">
        <v>6</v>
      </c>
      <c r="B15" s="46">
        <f>B10+B14</f>
        <v>5840</v>
      </c>
      <c r="C15" s="46">
        <f>C10+C14</f>
        <v>4672</v>
      </c>
      <c r="D15" s="56"/>
      <c r="E15" s="56"/>
    </row>
    <row r="16" spans="1:7" s="66" customFormat="1" ht="30" customHeight="1" x14ac:dyDescent="0.25">
      <c r="A16" s="66" t="s">
        <v>24</v>
      </c>
      <c r="C16" s="70"/>
      <c r="D16" s="68"/>
    </row>
    <row r="17" spans="1:9" s="66" customFormat="1" ht="30" customHeight="1" x14ac:dyDescent="0.25">
      <c r="A17" s="67" t="s">
        <v>50</v>
      </c>
      <c r="D17" s="68"/>
    </row>
    <row r="18" spans="1:9" s="66" customFormat="1" ht="30" customHeight="1" x14ac:dyDescent="0.25">
      <c r="A18" s="66" t="s">
        <v>25</v>
      </c>
      <c r="D18" s="68"/>
    </row>
    <row r="20" spans="1:9" s="37" customFormat="1" ht="28.05" customHeight="1" x14ac:dyDescent="0.25">
      <c r="A20" s="75" t="s">
        <v>86</v>
      </c>
      <c r="D20" s="76"/>
    </row>
    <row r="21" spans="1:9" s="37" customFormat="1" ht="28.05" customHeight="1" x14ac:dyDescent="0.25">
      <c r="A21" s="37" t="s">
        <v>87</v>
      </c>
      <c r="D21" s="76"/>
      <c r="I21" s="37">
        <f>1050*0.8</f>
        <v>840</v>
      </c>
    </row>
    <row r="22" spans="1:9" s="37" customFormat="1" ht="28.05" customHeight="1" x14ac:dyDescent="0.25">
      <c r="A22" s="37" t="s">
        <v>83</v>
      </c>
      <c r="D22" s="76"/>
    </row>
    <row r="23" spans="1:9" s="37" customFormat="1" ht="28.05" customHeight="1" x14ac:dyDescent="0.25">
      <c r="A23" s="37" t="s">
        <v>82</v>
      </c>
      <c r="D23" s="76"/>
    </row>
    <row r="24" spans="1:9" s="37" customFormat="1" ht="28.05" customHeight="1" x14ac:dyDescent="0.25">
      <c r="A24" s="37" t="s">
        <v>84</v>
      </c>
      <c r="D24" s="76"/>
    </row>
    <row r="25" spans="1:9" s="37" customFormat="1" ht="28.05" customHeight="1" x14ac:dyDescent="0.25">
      <c r="A25" s="83" t="s">
        <v>85</v>
      </c>
      <c r="D25" s="76"/>
    </row>
    <row r="26" spans="1:9" s="37" customFormat="1" ht="17.399999999999999" x14ac:dyDescent="0.25">
      <c r="A26" s="78" t="s">
        <v>58</v>
      </c>
      <c r="D26" s="76"/>
    </row>
    <row r="27" spans="1:9" s="37" customFormat="1" ht="28.05" customHeight="1" x14ac:dyDescent="0.25">
      <c r="D27" s="76"/>
    </row>
    <row r="28" spans="1:9" s="37" customFormat="1" ht="28.05" customHeight="1" x14ac:dyDescent="0.25">
      <c r="A28" s="75" t="s">
        <v>86</v>
      </c>
      <c r="D28" s="76"/>
    </row>
    <row r="29" spans="1:9" s="37" customFormat="1" ht="28.05" customHeight="1" x14ac:dyDescent="0.25">
      <c r="A29" s="37" t="s">
        <v>88</v>
      </c>
      <c r="D29" s="76"/>
    </row>
    <row r="30" spans="1:9" s="37" customFormat="1" ht="28.05" customHeight="1" x14ac:dyDescent="0.25">
      <c r="A30" s="37" t="s">
        <v>89</v>
      </c>
      <c r="D30" s="76"/>
    </row>
    <row r="31" spans="1:9" s="37" customFormat="1" ht="28.05" customHeight="1" x14ac:dyDescent="0.25">
      <c r="A31" s="37" t="s">
        <v>90</v>
      </c>
      <c r="D31" s="76"/>
    </row>
    <row r="32" spans="1:9" s="37" customFormat="1" ht="28.05" customHeight="1" x14ac:dyDescent="0.25">
      <c r="A32" s="37" t="s">
        <v>92</v>
      </c>
      <c r="D32" s="76"/>
    </row>
    <row r="33" spans="1:4" s="37" customFormat="1" ht="28.05" customHeight="1" x14ac:dyDescent="0.25">
      <c r="A33" s="83" t="s">
        <v>93</v>
      </c>
      <c r="D33" s="76"/>
    </row>
    <row r="34" spans="1:4" s="37" customFormat="1" ht="28.05" customHeight="1" x14ac:dyDescent="0.25">
      <c r="A34" s="78" t="s">
        <v>58</v>
      </c>
      <c r="D34" s="76"/>
    </row>
    <row r="35" spans="1:4" s="37" customFormat="1" ht="28.05" customHeight="1" x14ac:dyDescent="0.25">
      <c r="A35" s="37" t="s">
        <v>94</v>
      </c>
      <c r="D35" s="76"/>
    </row>
    <row r="36" spans="1:4" s="37" customFormat="1" ht="28.05" customHeight="1" x14ac:dyDescent="0.25">
      <c r="A36" s="81">
        <f>2160+944</f>
        <v>3104</v>
      </c>
      <c r="D36" s="76"/>
    </row>
    <row r="37" spans="1:4" s="37" customFormat="1" ht="28.05" customHeight="1" x14ac:dyDescent="0.25">
      <c r="D37" s="76"/>
    </row>
    <row r="38" spans="1:4" s="37" customFormat="1" ht="28.05" customHeight="1" x14ac:dyDescent="0.25">
      <c r="A38" s="79"/>
      <c r="D38" s="76"/>
    </row>
    <row r="39" spans="1:4" s="37" customFormat="1" ht="28.05" customHeight="1" x14ac:dyDescent="0.25">
      <c r="A39" s="75"/>
      <c r="D39" s="76"/>
    </row>
    <row r="40" spans="1:4" s="37" customFormat="1" ht="28.05" customHeight="1" x14ac:dyDescent="0.25">
      <c r="A40" s="75"/>
      <c r="D40" s="76"/>
    </row>
    <row r="41" spans="1:4" s="37" customFormat="1" ht="28.05" customHeight="1" x14ac:dyDescent="0.25">
      <c r="A41" s="75"/>
      <c r="D41" s="76"/>
    </row>
    <row r="42" spans="1:4" s="37" customFormat="1" ht="28.05" customHeight="1" x14ac:dyDescent="0.25">
      <c r="A42" s="75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ht="17.399999999999999" x14ac:dyDescent="0.25">
      <c r="A45" s="75"/>
    </row>
    <row r="46" spans="1:4" ht="17.399999999999999" x14ac:dyDescent="0.25">
      <c r="A46" s="75"/>
    </row>
    <row r="47" spans="1:4" ht="17.399999999999999" x14ac:dyDescent="0.25">
      <c r="A47" s="75"/>
    </row>
    <row r="48" spans="1:4" ht="17.399999999999999" x14ac:dyDescent="0.25">
      <c r="A48" s="75"/>
    </row>
  </sheetData>
  <mergeCells count="5"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="85" zoomScaleNormal="85" workbookViewId="0">
      <selection activeCell="D2" sqref="D2:D3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7" ht="27.6" customHeight="1" x14ac:dyDescent="0.25">
      <c r="A1" s="23"/>
      <c r="D1" s="95" t="s">
        <v>95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hidden="1" customHeight="1" x14ac:dyDescent="0.25">
      <c r="A4" s="65" t="s">
        <v>96</v>
      </c>
      <c r="B4" s="26">
        <v>100</v>
      </c>
      <c r="C4" s="26">
        <f>B4*0.8</f>
        <v>80</v>
      </c>
      <c r="D4" s="58"/>
      <c r="E4" s="71"/>
    </row>
    <row r="5" spans="1:7" ht="30" hidden="1" customHeight="1" x14ac:dyDescent="0.25">
      <c r="A5" s="65" t="s">
        <v>4</v>
      </c>
      <c r="B5" s="26">
        <v>840</v>
      </c>
      <c r="C5" s="26">
        <f>B5*0.8</f>
        <v>672</v>
      </c>
      <c r="D5" s="58"/>
      <c r="E5" s="71"/>
    </row>
    <row r="6" spans="1:7" ht="30" hidden="1" customHeight="1" x14ac:dyDescent="0.25">
      <c r="A6" s="65" t="s">
        <v>11</v>
      </c>
      <c r="B6" s="26">
        <v>780</v>
      </c>
      <c r="C6" s="26">
        <f t="shared" ref="C6:C16" si="0">B6*0.8</f>
        <v>624</v>
      </c>
      <c r="D6" s="72"/>
      <c r="E6" s="71"/>
    </row>
    <row r="7" spans="1:7" ht="30" hidden="1" customHeight="1" x14ac:dyDescent="0.25">
      <c r="A7" s="65" t="s">
        <v>5</v>
      </c>
      <c r="B7" s="26">
        <v>1200</v>
      </c>
      <c r="C7" s="26">
        <f t="shared" si="0"/>
        <v>960</v>
      </c>
      <c r="D7" s="53"/>
      <c r="E7" s="29"/>
    </row>
    <row r="8" spans="1:7" ht="30" hidden="1" customHeight="1" x14ac:dyDescent="0.25">
      <c r="A8" s="65" t="s">
        <v>22</v>
      </c>
      <c r="B8" s="26">
        <v>700</v>
      </c>
      <c r="C8" s="26">
        <f t="shared" si="0"/>
        <v>560</v>
      </c>
      <c r="D8" s="53"/>
      <c r="E8" s="29"/>
    </row>
    <row r="9" spans="1:7" ht="30" hidden="1" customHeight="1" x14ac:dyDescent="0.25">
      <c r="A9" s="65" t="s">
        <v>13</v>
      </c>
      <c r="B9" s="26">
        <v>500</v>
      </c>
      <c r="C9" s="26">
        <f t="shared" si="0"/>
        <v>400</v>
      </c>
      <c r="D9" s="58"/>
      <c r="E9" s="29"/>
    </row>
    <row r="10" spans="1:7" ht="30" hidden="1" customHeight="1" x14ac:dyDescent="0.25">
      <c r="A10" s="65" t="s">
        <v>21</v>
      </c>
      <c r="B10" s="26">
        <v>600</v>
      </c>
      <c r="C10" s="26">
        <f t="shared" ref="C10" si="1">B10*0.8</f>
        <v>480</v>
      </c>
      <c r="D10" s="53"/>
      <c r="E10" s="29"/>
      <c r="G10" s="52"/>
    </row>
    <row r="11" spans="1:7" ht="30" hidden="1" customHeight="1" x14ac:dyDescent="0.25">
      <c r="A11" s="65" t="s">
        <v>31</v>
      </c>
      <c r="B11" s="26">
        <v>2100</v>
      </c>
      <c r="C11" s="26">
        <f t="shared" si="0"/>
        <v>1680</v>
      </c>
      <c r="D11" s="53"/>
      <c r="E11" s="29"/>
      <c r="G11" s="52"/>
    </row>
    <row r="12" spans="1:7" ht="30" hidden="1" customHeight="1" x14ac:dyDescent="0.25">
      <c r="A12" s="47" t="s">
        <v>6</v>
      </c>
      <c r="B12" s="48">
        <f>SUM(B4:B11)</f>
        <v>6820</v>
      </c>
      <c r="C12" s="48">
        <f>SUM(C4:C11)</f>
        <v>5456</v>
      </c>
      <c r="D12" s="54"/>
      <c r="E12" s="54"/>
    </row>
    <row r="13" spans="1:7" ht="30" customHeight="1" x14ac:dyDescent="0.25">
      <c r="A13" s="44" t="s">
        <v>17</v>
      </c>
      <c r="B13" s="26">
        <v>360</v>
      </c>
      <c r="C13" s="26">
        <f t="shared" si="0"/>
        <v>288</v>
      </c>
      <c r="D13" s="53"/>
      <c r="E13" s="69"/>
    </row>
    <row r="14" spans="1:7" ht="30" customHeight="1" x14ac:dyDescent="0.25">
      <c r="A14" s="44" t="s">
        <v>18</v>
      </c>
      <c r="B14" s="26">
        <v>120</v>
      </c>
      <c r="C14" s="26">
        <f t="shared" si="0"/>
        <v>96</v>
      </c>
      <c r="D14" s="58"/>
      <c r="E14" s="69"/>
    </row>
    <row r="15" spans="1:7" ht="30" customHeight="1" x14ac:dyDescent="0.25">
      <c r="A15" s="44" t="s">
        <v>19</v>
      </c>
      <c r="B15" s="26">
        <v>2000</v>
      </c>
      <c r="C15" s="26">
        <v>2000</v>
      </c>
      <c r="D15" s="86" t="s">
        <v>97</v>
      </c>
      <c r="E15" s="69"/>
    </row>
    <row r="16" spans="1:7" ht="30" customHeight="1" x14ac:dyDescent="0.25">
      <c r="A16" s="44" t="s">
        <v>81</v>
      </c>
      <c r="B16" s="26">
        <v>300</v>
      </c>
      <c r="C16" s="26">
        <f t="shared" si="0"/>
        <v>240</v>
      </c>
      <c r="D16" s="58"/>
      <c r="E16" s="69"/>
    </row>
    <row r="17" spans="1:9" ht="30" customHeight="1" x14ac:dyDescent="0.25">
      <c r="A17" s="49" t="s">
        <v>23</v>
      </c>
      <c r="B17" s="50">
        <f>SUM(B13:B16)</f>
        <v>2780</v>
      </c>
      <c r="C17" s="64">
        <f>SUM(C13:C16)</f>
        <v>2624</v>
      </c>
      <c r="D17" s="55"/>
      <c r="E17" s="55"/>
    </row>
    <row r="18" spans="1:9" ht="30" hidden="1" customHeight="1" x14ac:dyDescent="0.25">
      <c r="A18" s="45" t="s">
        <v>6</v>
      </c>
      <c r="B18" s="46">
        <f>B12+B17</f>
        <v>9600</v>
      </c>
      <c r="C18" s="46">
        <f>C12+C17</f>
        <v>8080</v>
      </c>
      <c r="D18" s="56"/>
      <c r="E18" s="56"/>
    </row>
    <row r="19" spans="1:9" s="66" customFormat="1" ht="30" customHeight="1" x14ac:dyDescent="0.25">
      <c r="A19" s="66" t="s">
        <v>24</v>
      </c>
      <c r="C19" s="70"/>
      <c r="D19" s="68"/>
    </row>
    <row r="20" spans="1:9" s="66" customFormat="1" ht="30" customHeight="1" x14ac:dyDescent="0.25">
      <c r="A20" s="67" t="s">
        <v>50</v>
      </c>
      <c r="D20" s="68"/>
    </row>
    <row r="21" spans="1:9" s="66" customFormat="1" ht="30" customHeight="1" x14ac:dyDescent="0.25">
      <c r="A21" s="66" t="s">
        <v>25</v>
      </c>
      <c r="D21" s="68"/>
    </row>
    <row r="23" spans="1:9" s="37" customFormat="1" ht="28.05" customHeight="1" x14ac:dyDescent="0.25">
      <c r="A23" s="75" t="s">
        <v>86</v>
      </c>
      <c r="D23" s="76"/>
    </row>
    <row r="24" spans="1:9" s="37" customFormat="1" ht="28.05" customHeight="1" x14ac:dyDescent="0.25">
      <c r="A24" s="37" t="s">
        <v>87</v>
      </c>
      <c r="D24" s="76"/>
      <c r="I24" s="37">
        <f>1050*0.8</f>
        <v>840</v>
      </c>
    </row>
    <row r="25" spans="1:9" s="37" customFormat="1" ht="28.05" customHeight="1" x14ac:dyDescent="0.25">
      <c r="A25" s="37" t="s">
        <v>83</v>
      </c>
      <c r="D25" s="76"/>
    </row>
    <row r="26" spans="1:9" s="37" customFormat="1" ht="28.05" customHeight="1" x14ac:dyDescent="0.25">
      <c r="A26" s="37" t="s">
        <v>82</v>
      </c>
      <c r="D26" s="76"/>
    </row>
    <row r="27" spans="1:9" s="37" customFormat="1" ht="28.05" customHeight="1" x14ac:dyDescent="0.25">
      <c r="A27" s="37" t="s">
        <v>84</v>
      </c>
      <c r="D27" s="76"/>
    </row>
    <row r="28" spans="1:9" s="37" customFormat="1" ht="28.05" customHeight="1" x14ac:dyDescent="0.25">
      <c r="A28" s="83" t="s">
        <v>85</v>
      </c>
      <c r="D28" s="76"/>
    </row>
    <row r="29" spans="1:9" s="37" customFormat="1" ht="17.399999999999999" x14ac:dyDescent="0.25">
      <c r="A29" s="78" t="s">
        <v>58</v>
      </c>
      <c r="D29" s="76"/>
    </row>
    <row r="30" spans="1:9" s="37" customFormat="1" ht="28.05" customHeight="1" x14ac:dyDescent="0.25">
      <c r="D30" s="76"/>
    </row>
    <row r="31" spans="1:9" s="37" customFormat="1" ht="28.05" customHeight="1" x14ac:dyDescent="0.25">
      <c r="A31" s="75" t="s">
        <v>86</v>
      </c>
      <c r="D31" s="76"/>
    </row>
    <row r="32" spans="1:9" s="37" customFormat="1" ht="28.05" customHeight="1" x14ac:dyDescent="0.25">
      <c r="A32" s="37" t="s">
        <v>88</v>
      </c>
      <c r="D32" s="76"/>
    </row>
    <row r="33" spans="1:4" s="37" customFormat="1" ht="28.05" customHeight="1" x14ac:dyDescent="0.25">
      <c r="A33" s="37" t="s">
        <v>89</v>
      </c>
      <c r="D33" s="76"/>
    </row>
    <row r="34" spans="1:4" s="37" customFormat="1" ht="28.05" customHeight="1" x14ac:dyDescent="0.25">
      <c r="A34" s="37" t="s">
        <v>90</v>
      </c>
      <c r="D34" s="76"/>
    </row>
    <row r="35" spans="1:4" s="37" customFormat="1" ht="28.05" customHeight="1" x14ac:dyDescent="0.25">
      <c r="A35" s="37" t="s">
        <v>92</v>
      </c>
      <c r="D35" s="76"/>
    </row>
    <row r="36" spans="1:4" s="37" customFormat="1" ht="28.05" customHeight="1" x14ac:dyDescent="0.25">
      <c r="A36" s="83" t="s">
        <v>93</v>
      </c>
      <c r="D36" s="76"/>
    </row>
    <row r="37" spans="1:4" s="37" customFormat="1" ht="28.05" customHeight="1" x14ac:dyDescent="0.25">
      <c r="A37" s="78" t="s">
        <v>58</v>
      </c>
      <c r="D37" s="76"/>
    </row>
    <row r="38" spans="1:4" s="37" customFormat="1" ht="28.05" customHeight="1" x14ac:dyDescent="0.25">
      <c r="A38" s="37" t="s">
        <v>94</v>
      </c>
      <c r="D38" s="76"/>
    </row>
    <row r="39" spans="1:4" s="37" customFormat="1" ht="28.05" customHeight="1" x14ac:dyDescent="0.25">
      <c r="A39" s="81">
        <f>2160+944</f>
        <v>3104</v>
      </c>
      <c r="D39" s="76"/>
    </row>
    <row r="40" spans="1:4" s="37" customFormat="1" ht="28.05" customHeight="1" x14ac:dyDescent="0.25">
      <c r="D40" s="76"/>
    </row>
    <row r="41" spans="1:4" s="37" customFormat="1" ht="28.05" customHeight="1" x14ac:dyDescent="0.25">
      <c r="A41" s="79"/>
      <c r="D41" s="76"/>
    </row>
    <row r="42" spans="1:4" s="37" customFormat="1" ht="28.05" customHeight="1" x14ac:dyDescent="0.25">
      <c r="A42" s="75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s="37" customFormat="1" ht="28.05" customHeight="1" x14ac:dyDescent="0.25">
      <c r="A45" s="75"/>
      <c r="D45" s="76"/>
    </row>
    <row r="46" spans="1:4" s="37" customFormat="1" ht="28.05" customHeight="1" x14ac:dyDescent="0.25">
      <c r="A46" s="75"/>
      <c r="D46" s="76"/>
    </row>
    <row r="47" spans="1:4" s="37" customFormat="1" ht="28.05" customHeight="1" x14ac:dyDescent="0.25">
      <c r="A47" s="75"/>
      <c r="D47" s="76"/>
    </row>
    <row r="48" spans="1:4" ht="17.399999999999999" x14ac:dyDescent="0.25">
      <c r="A48" s="75"/>
    </row>
    <row r="49" spans="1:1" ht="17.399999999999999" x14ac:dyDescent="0.25">
      <c r="A49" s="75"/>
    </row>
    <row r="50" spans="1:1" ht="17.399999999999999" x14ac:dyDescent="0.25">
      <c r="A50" s="75"/>
    </row>
    <row r="51" spans="1:1" ht="17.399999999999999" x14ac:dyDescent="0.25">
      <c r="A51" s="75"/>
    </row>
  </sheetData>
  <mergeCells count="5"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zoomScale="85" zoomScaleNormal="85" workbookViewId="0">
      <selection activeCell="H20" sqref="H20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7" ht="27.6" customHeight="1" x14ac:dyDescent="0.25">
      <c r="A1" s="23"/>
      <c r="D1" s="95" t="s">
        <v>98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hidden="1" customHeight="1" x14ac:dyDescent="0.25">
      <c r="A4" s="65" t="s">
        <v>4</v>
      </c>
      <c r="B4" s="28">
        <v>550</v>
      </c>
      <c r="C4" s="26">
        <f>B4*0.8</f>
        <v>440</v>
      </c>
      <c r="D4" s="58"/>
      <c r="E4" s="71"/>
    </row>
    <row r="5" spans="1:7" ht="30" hidden="1" customHeight="1" x14ac:dyDescent="0.25">
      <c r="A5" s="65" t="s">
        <v>11</v>
      </c>
      <c r="B5" s="28">
        <v>650</v>
      </c>
      <c r="C5" s="26">
        <f t="shared" ref="C5:C13" si="0">B5*0.8</f>
        <v>520</v>
      </c>
      <c r="D5" s="72"/>
      <c r="E5" s="71"/>
    </row>
    <row r="6" spans="1:7" ht="30" hidden="1" customHeight="1" x14ac:dyDescent="0.25">
      <c r="A6" s="65" t="s">
        <v>22</v>
      </c>
      <c r="B6" s="28">
        <v>700</v>
      </c>
      <c r="C6" s="26">
        <f t="shared" si="0"/>
        <v>560</v>
      </c>
      <c r="D6" s="53"/>
      <c r="E6" s="29"/>
    </row>
    <row r="7" spans="1:7" ht="30" hidden="1" customHeight="1" x14ac:dyDescent="0.25">
      <c r="A7" s="65" t="s">
        <v>13</v>
      </c>
      <c r="B7" s="28">
        <v>600</v>
      </c>
      <c r="C7" s="26">
        <f t="shared" si="0"/>
        <v>480</v>
      </c>
      <c r="D7" s="58"/>
      <c r="E7" s="29"/>
    </row>
    <row r="8" spans="1:7" ht="30" hidden="1" customHeight="1" x14ac:dyDescent="0.25">
      <c r="A8" s="65" t="s">
        <v>21</v>
      </c>
      <c r="B8" s="28">
        <v>400</v>
      </c>
      <c r="C8" s="26">
        <f t="shared" si="0"/>
        <v>320</v>
      </c>
      <c r="D8" s="53"/>
      <c r="E8" s="29"/>
      <c r="G8" s="52"/>
    </row>
    <row r="9" spans="1:7" ht="30" hidden="1" customHeight="1" x14ac:dyDescent="0.25">
      <c r="A9" s="65" t="s">
        <v>14</v>
      </c>
      <c r="B9" s="28">
        <v>750</v>
      </c>
      <c r="C9" s="26">
        <f t="shared" ref="C9" si="1">B9*0.8</f>
        <v>600</v>
      </c>
      <c r="D9" s="53"/>
      <c r="E9" s="29"/>
      <c r="G9" s="52"/>
    </row>
    <row r="10" spans="1:7" ht="30" hidden="1" customHeight="1" x14ac:dyDescent="0.25">
      <c r="A10" s="47" t="s">
        <v>6</v>
      </c>
      <c r="B10" s="48">
        <f>SUM(B4:B9)</f>
        <v>3650</v>
      </c>
      <c r="C10" s="48">
        <f>SUM(C4:C9)</f>
        <v>2920</v>
      </c>
      <c r="D10" s="54"/>
      <c r="E10" s="54"/>
    </row>
    <row r="11" spans="1:7" ht="30" customHeight="1" x14ac:dyDescent="0.25">
      <c r="A11" s="44" t="s">
        <v>17</v>
      </c>
      <c r="B11" s="26">
        <v>440</v>
      </c>
      <c r="C11" s="26">
        <f t="shared" si="0"/>
        <v>352</v>
      </c>
      <c r="D11" s="53"/>
      <c r="E11" s="69"/>
    </row>
    <row r="12" spans="1:7" ht="30" customHeight="1" x14ac:dyDescent="0.25">
      <c r="A12" s="44" t="s">
        <v>19</v>
      </c>
      <c r="B12" s="26">
        <v>1000</v>
      </c>
      <c r="C12" s="26">
        <f t="shared" si="0"/>
        <v>800</v>
      </c>
      <c r="D12" s="86"/>
      <c r="E12" s="69"/>
    </row>
    <row r="13" spans="1:7" ht="30" customHeight="1" x14ac:dyDescent="0.25">
      <c r="A13" s="44" t="s">
        <v>20</v>
      </c>
      <c r="B13" s="26">
        <v>280</v>
      </c>
      <c r="C13" s="26">
        <f t="shared" si="0"/>
        <v>224</v>
      </c>
      <c r="D13" s="58"/>
      <c r="E13" s="69"/>
    </row>
    <row r="14" spans="1:7" ht="30" customHeight="1" x14ac:dyDescent="0.25">
      <c r="A14" s="49" t="s">
        <v>23</v>
      </c>
      <c r="B14" s="50">
        <f>SUM(B11:B13)</f>
        <v>1720</v>
      </c>
      <c r="C14" s="64">
        <f>SUM(C11:C13)</f>
        <v>1376</v>
      </c>
      <c r="D14" s="55"/>
      <c r="E14" s="55"/>
    </row>
    <row r="15" spans="1:7" ht="34.799999999999997" hidden="1" customHeight="1" x14ac:dyDescent="0.25">
      <c r="A15" s="45" t="s">
        <v>6</v>
      </c>
      <c r="B15" s="46">
        <f>B10+B14</f>
        <v>5370</v>
      </c>
      <c r="C15" s="46">
        <f>C10+C14</f>
        <v>4296</v>
      </c>
      <c r="D15" s="56"/>
      <c r="E15" s="56"/>
    </row>
    <row r="16" spans="1:7" s="66" customFormat="1" ht="30" customHeight="1" x14ac:dyDescent="0.25">
      <c r="A16" s="66" t="s">
        <v>24</v>
      </c>
      <c r="C16" s="70"/>
      <c r="D16" s="68"/>
    </row>
    <row r="17" spans="1:9" s="66" customFormat="1" ht="30" customHeight="1" x14ac:dyDescent="0.25">
      <c r="A17" s="67" t="s">
        <v>50</v>
      </c>
      <c r="D17" s="68"/>
    </row>
    <row r="18" spans="1:9" s="66" customFormat="1" ht="30" customHeight="1" x14ac:dyDescent="0.25">
      <c r="A18" s="66" t="s">
        <v>25</v>
      </c>
      <c r="D18" s="68"/>
    </row>
    <row r="20" spans="1:9" s="37" customFormat="1" ht="28.05" customHeight="1" x14ac:dyDescent="0.25">
      <c r="A20" s="75" t="s">
        <v>86</v>
      </c>
      <c r="D20" s="76"/>
    </row>
    <row r="21" spans="1:9" s="37" customFormat="1" ht="28.05" customHeight="1" x14ac:dyDescent="0.25">
      <c r="A21" s="37" t="s">
        <v>87</v>
      </c>
      <c r="D21" s="76"/>
      <c r="I21" s="37">
        <f>1050*0.8</f>
        <v>840</v>
      </c>
    </row>
    <row r="22" spans="1:9" s="37" customFormat="1" ht="28.05" customHeight="1" x14ac:dyDescent="0.25">
      <c r="A22" s="37" t="s">
        <v>83</v>
      </c>
      <c r="D22" s="76"/>
    </row>
    <row r="23" spans="1:9" s="37" customFormat="1" ht="28.05" customHeight="1" x14ac:dyDescent="0.25">
      <c r="A23" s="37" t="s">
        <v>82</v>
      </c>
      <c r="D23" s="76"/>
    </row>
    <row r="24" spans="1:9" s="37" customFormat="1" ht="28.05" customHeight="1" x14ac:dyDescent="0.25">
      <c r="A24" s="37" t="s">
        <v>84</v>
      </c>
      <c r="D24" s="76"/>
    </row>
    <row r="25" spans="1:9" s="37" customFormat="1" ht="28.05" customHeight="1" x14ac:dyDescent="0.25">
      <c r="A25" s="83" t="s">
        <v>85</v>
      </c>
      <c r="D25" s="76"/>
    </row>
    <row r="26" spans="1:9" s="37" customFormat="1" ht="17.399999999999999" x14ac:dyDescent="0.25">
      <c r="A26" s="78" t="s">
        <v>58</v>
      </c>
      <c r="D26" s="76"/>
    </row>
    <row r="27" spans="1:9" s="37" customFormat="1" ht="28.05" customHeight="1" x14ac:dyDescent="0.25">
      <c r="D27" s="76"/>
    </row>
    <row r="28" spans="1:9" s="37" customFormat="1" ht="28.05" customHeight="1" x14ac:dyDescent="0.25">
      <c r="A28" s="75" t="s">
        <v>86</v>
      </c>
      <c r="D28" s="76"/>
    </row>
    <row r="29" spans="1:9" s="37" customFormat="1" ht="28.05" customHeight="1" x14ac:dyDescent="0.25">
      <c r="A29" s="37" t="s">
        <v>88</v>
      </c>
      <c r="D29" s="76"/>
    </row>
    <row r="30" spans="1:9" s="37" customFormat="1" ht="28.05" customHeight="1" x14ac:dyDescent="0.25">
      <c r="A30" s="37" t="s">
        <v>89</v>
      </c>
      <c r="D30" s="76"/>
    </row>
    <row r="31" spans="1:9" s="37" customFormat="1" ht="28.05" customHeight="1" x14ac:dyDescent="0.25">
      <c r="A31" s="37" t="s">
        <v>90</v>
      </c>
      <c r="D31" s="76"/>
    </row>
    <row r="32" spans="1:9" s="37" customFormat="1" ht="28.05" customHeight="1" x14ac:dyDescent="0.25">
      <c r="A32" s="37" t="s">
        <v>92</v>
      </c>
      <c r="D32" s="76"/>
    </row>
    <row r="33" spans="1:4" s="37" customFormat="1" ht="28.05" customHeight="1" x14ac:dyDescent="0.25">
      <c r="A33" s="83" t="s">
        <v>93</v>
      </c>
      <c r="D33" s="76"/>
    </row>
    <row r="34" spans="1:4" s="37" customFormat="1" ht="28.05" customHeight="1" x14ac:dyDescent="0.25">
      <c r="A34" s="78" t="s">
        <v>58</v>
      </c>
      <c r="D34" s="76"/>
    </row>
    <row r="35" spans="1:4" s="37" customFormat="1" ht="28.05" customHeight="1" x14ac:dyDescent="0.25">
      <c r="A35" s="37" t="s">
        <v>94</v>
      </c>
      <c r="D35" s="76"/>
    </row>
    <row r="36" spans="1:4" s="37" customFormat="1" ht="28.05" customHeight="1" x14ac:dyDescent="0.25">
      <c r="A36" s="81">
        <f>2160+944</f>
        <v>3104</v>
      </c>
      <c r="D36" s="76"/>
    </row>
    <row r="37" spans="1:4" s="37" customFormat="1" ht="28.05" customHeight="1" x14ac:dyDescent="0.25">
      <c r="D37" s="76"/>
    </row>
    <row r="38" spans="1:4" s="37" customFormat="1" ht="28.05" customHeight="1" x14ac:dyDescent="0.25">
      <c r="A38" s="79"/>
      <c r="D38" s="76"/>
    </row>
    <row r="39" spans="1:4" s="37" customFormat="1" ht="28.05" customHeight="1" x14ac:dyDescent="0.25">
      <c r="A39" s="75"/>
      <c r="D39" s="76"/>
    </row>
    <row r="40" spans="1:4" s="37" customFormat="1" ht="28.05" customHeight="1" x14ac:dyDescent="0.25">
      <c r="A40" s="75"/>
      <c r="D40" s="76"/>
    </row>
    <row r="41" spans="1:4" s="37" customFormat="1" ht="28.05" customHeight="1" x14ac:dyDescent="0.25">
      <c r="A41" s="75"/>
      <c r="D41" s="76"/>
    </row>
    <row r="42" spans="1:4" s="37" customFormat="1" ht="28.05" customHeight="1" x14ac:dyDescent="0.25">
      <c r="A42" s="75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ht="17.399999999999999" x14ac:dyDescent="0.25">
      <c r="A45" s="75"/>
    </row>
    <row r="46" spans="1:4" ht="17.399999999999999" x14ac:dyDescent="0.25">
      <c r="A46" s="75"/>
    </row>
    <row r="47" spans="1:4" ht="17.399999999999999" x14ac:dyDescent="0.25">
      <c r="A47" s="75"/>
    </row>
    <row r="48" spans="1:4" ht="17.399999999999999" x14ac:dyDescent="0.25">
      <c r="A48" s="75"/>
    </row>
  </sheetData>
  <mergeCells count="5"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"/>
  <sheetViews>
    <sheetView zoomScale="85" zoomScaleNormal="85" workbookViewId="0">
      <selection activeCell="J16" sqref="J16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7" ht="27.6" customHeight="1" x14ac:dyDescent="0.25">
      <c r="A1" s="23"/>
      <c r="D1" s="95" t="s">
        <v>99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4</v>
      </c>
      <c r="B4" s="28">
        <v>200</v>
      </c>
      <c r="C4" s="26">
        <f>B4*0.8</f>
        <v>160</v>
      </c>
      <c r="D4" s="58"/>
      <c r="E4" s="71"/>
    </row>
    <row r="5" spans="1:7" ht="30" customHeight="1" x14ac:dyDescent="0.25">
      <c r="A5" s="65" t="s">
        <v>5</v>
      </c>
      <c r="B5" s="28">
        <v>1200</v>
      </c>
      <c r="C5" s="26">
        <f t="shared" ref="C5" si="0">B5*0.8</f>
        <v>960</v>
      </c>
      <c r="D5" s="72"/>
      <c r="E5" s="71"/>
    </row>
    <row r="6" spans="1:7" ht="30" customHeight="1" x14ac:dyDescent="0.25">
      <c r="A6" s="65" t="s">
        <v>22</v>
      </c>
      <c r="B6" s="28">
        <v>700</v>
      </c>
      <c r="C6" s="26">
        <f t="shared" ref="C6:C15" si="1">B6*0.8</f>
        <v>560</v>
      </c>
      <c r="D6" s="53"/>
      <c r="E6" s="29"/>
    </row>
    <row r="7" spans="1:7" ht="30" customHeight="1" x14ac:dyDescent="0.25">
      <c r="A7" s="65" t="s">
        <v>13</v>
      </c>
      <c r="B7" s="28">
        <v>600</v>
      </c>
      <c r="C7" s="26">
        <f t="shared" si="1"/>
        <v>480</v>
      </c>
      <c r="D7" s="58"/>
      <c r="E7" s="29"/>
    </row>
    <row r="8" spans="1:7" ht="30" customHeight="1" x14ac:dyDescent="0.25">
      <c r="A8" s="65" t="s">
        <v>21</v>
      </c>
      <c r="B8" s="28">
        <v>400</v>
      </c>
      <c r="C8" s="26">
        <f t="shared" si="1"/>
        <v>320</v>
      </c>
      <c r="D8" s="53"/>
      <c r="E8" s="29"/>
      <c r="G8" s="52"/>
    </row>
    <row r="9" spans="1:7" ht="30" customHeight="1" x14ac:dyDescent="0.25">
      <c r="A9" s="65" t="s">
        <v>14</v>
      </c>
      <c r="B9" s="28">
        <v>400</v>
      </c>
      <c r="C9" s="26">
        <f t="shared" si="1"/>
        <v>320</v>
      </c>
      <c r="D9" s="53"/>
      <c r="E9" s="29"/>
      <c r="G9" s="52"/>
    </row>
    <row r="10" spans="1:7" ht="30" customHeight="1" x14ac:dyDescent="0.25">
      <c r="A10" s="65" t="s">
        <v>100</v>
      </c>
      <c r="B10" s="28">
        <v>700</v>
      </c>
      <c r="C10" s="26">
        <f t="shared" si="1"/>
        <v>560</v>
      </c>
      <c r="D10" s="53"/>
      <c r="E10" s="29"/>
      <c r="G10" s="52"/>
    </row>
    <row r="11" spans="1:7" ht="30" customHeight="1" x14ac:dyDescent="0.25">
      <c r="A11" s="47" t="s">
        <v>6</v>
      </c>
      <c r="B11" s="48">
        <f>SUM(B4:B10)</f>
        <v>4200</v>
      </c>
      <c r="C11" s="48">
        <f>SUM(C4:C10)</f>
        <v>3360</v>
      </c>
      <c r="D11" s="54"/>
      <c r="E11" s="54"/>
    </row>
    <row r="12" spans="1:7" ht="30" customHeight="1" x14ac:dyDescent="0.25">
      <c r="A12" s="44" t="s">
        <v>17</v>
      </c>
      <c r="B12" s="28">
        <v>770</v>
      </c>
      <c r="C12" s="26">
        <f t="shared" si="1"/>
        <v>616</v>
      </c>
      <c r="D12" s="53"/>
      <c r="E12" s="69"/>
    </row>
    <row r="13" spans="1:7" ht="30" customHeight="1" x14ac:dyDescent="0.25">
      <c r="A13" s="44" t="s">
        <v>19</v>
      </c>
      <c r="B13" s="28">
        <v>320</v>
      </c>
      <c r="C13" s="26">
        <f t="shared" si="1"/>
        <v>256</v>
      </c>
      <c r="D13" s="86"/>
      <c r="E13" s="69"/>
    </row>
    <row r="14" spans="1:7" ht="30" customHeight="1" x14ac:dyDescent="0.25">
      <c r="A14" s="44" t="s">
        <v>20</v>
      </c>
      <c r="B14" s="28">
        <v>0</v>
      </c>
      <c r="C14" s="26">
        <v>700</v>
      </c>
      <c r="D14" s="69" t="s">
        <v>101</v>
      </c>
      <c r="E14" s="69"/>
    </row>
    <row r="15" spans="1:7" ht="30" customHeight="1" x14ac:dyDescent="0.25">
      <c r="A15" s="44" t="s">
        <v>81</v>
      </c>
      <c r="B15" s="28">
        <v>240</v>
      </c>
      <c r="C15" s="26">
        <f t="shared" si="1"/>
        <v>192</v>
      </c>
      <c r="D15" s="58"/>
      <c r="E15" s="69"/>
    </row>
    <row r="16" spans="1:7" ht="30" customHeight="1" x14ac:dyDescent="0.25">
      <c r="A16" s="49" t="s">
        <v>23</v>
      </c>
      <c r="B16" s="50">
        <f>SUM(B12:B15)</f>
        <v>1330</v>
      </c>
      <c r="C16" s="64">
        <f>SUM(C12:C15)</f>
        <v>1764</v>
      </c>
      <c r="D16" s="55"/>
      <c r="E16" s="55"/>
    </row>
    <row r="17" spans="1:9" ht="34.799999999999997" customHeight="1" x14ac:dyDescent="0.25">
      <c r="A17" s="45" t="s">
        <v>6</v>
      </c>
      <c r="B17" s="46">
        <f>B11+B16</f>
        <v>5530</v>
      </c>
      <c r="C17" s="46">
        <f>C11+C16</f>
        <v>5124</v>
      </c>
      <c r="D17" s="56"/>
      <c r="E17" s="56"/>
    </row>
    <row r="18" spans="1:9" s="66" customFormat="1" ht="30" customHeight="1" x14ac:dyDescent="0.25">
      <c r="A18" s="66" t="s">
        <v>24</v>
      </c>
      <c r="C18" s="70"/>
      <c r="D18" s="68"/>
    </row>
    <row r="19" spans="1:9" s="66" customFormat="1" ht="30" customHeight="1" x14ac:dyDescent="0.25">
      <c r="A19" s="67" t="s">
        <v>50</v>
      </c>
      <c r="D19" s="68"/>
    </row>
    <row r="20" spans="1:9" s="66" customFormat="1" ht="30" customHeight="1" x14ac:dyDescent="0.25">
      <c r="A20" s="66" t="s">
        <v>25</v>
      </c>
      <c r="D20" s="68"/>
    </row>
    <row r="22" spans="1:9" s="37" customFormat="1" ht="28.05" customHeight="1" x14ac:dyDescent="0.25">
      <c r="A22" s="75" t="s">
        <v>86</v>
      </c>
      <c r="D22" s="76"/>
    </row>
    <row r="23" spans="1:9" s="37" customFormat="1" ht="28.05" customHeight="1" x14ac:dyDescent="0.25">
      <c r="A23" s="37" t="s">
        <v>87</v>
      </c>
      <c r="D23" s="76"/>
      <c r="I23" s="37">
        <f>1050*0.8</f>
        <v>840</v>
      </c>
    </row>
    <row r="24" spans="1:9" s="37" customFormat="1" ht="28.05" customHeight="1" x14ac:dyDescent="0.25">
      <c r="A24" s="37" t="s">
        <v>83</v>
      </c>
      <c r="D24" s="76"/>
    </row>
    <row r="25" spans="1:9" s="37" customFormat="1" ht="28.05" customHeight="1" x14ac:dyDescent="0.25">
      <c r="A25" s="37" t="s">
        <v>82</v>
      </c>
      <c r="D25" s="76"/>
    </row>
    <row r="26" spans="1:9" s="37" customFormat="1" ht="28.05" customHeight="1" x14ac:dyDescent="0.25">
      <c r="A26" s="37" t="s">
        <v>84</v>
      </c>
      <c r="D26" s="76"/>
    </row>
    <row r="27" spans="1:9" s="37" customFormat="1" ht="28.05" customHeight="1" x14ac:dyDescent="0.25">
      <c r="A27" s="83" t="s">
        <v>85</v>
      </c>
      <c r="D27" s="76"/>
    </row>
    <row r="28" spans="1:9" s="37" customFormat="1" ht="17.399999999999999" x14ac:dyDescent="0.25">
      <c r="A28" s="78" t="s">
        <v>58</v>
      </c>
      <c r="D28" s="76"/>
    </row>
    <row r="29" spans="1:9" s="37" customFormat="1" ht="28.05" customHeight="1" x14ac:dyDescent="0.25">
      <c r="D29" s="76"/>
    </row>
    <row r="30" spans="1:9" s="37" customFormat="1" ht="28.05" customHeight="1" x14ac:dyDescent="0.25">
      <c r="A30" s="75" t="s">
        <v>86</v>
      </c>
      <c r="D30" s="76"/>
    </row>
    <row r="31" spans="1:9" s="37" customFormat="1" ht="28.05" customHeight="1" x14ac:dyDescent="0.25">
      <c r="A31" s="37" t="s">
        <v>88</v>
      </c>
      <c r="D31" s="76"/>
    </row>
    <row r="32" spans="1:9" s="37" customFormat="1" ht="28.05" customHeight="1" x14ac:dyDescent="0.25">
      <c r="A32" s="37" t="s">
        <v>89</v>
      </c>
      <c r="D32" s="76"/>
    </row>
    <row r="33" spans="1:4" s="37" customFormat="1" ht="28.05" customHeight="1" x14ac:dyDescent="0.25">
      <c r="A33" s="37" t="s">
        <v>90</v>
      </c>
      <c r="D33" s="76"/>
    </row>
    <row r="34" spans="1:4" s="37" customFormat="1" ht="28.05" customHeight="1" x14ac:dyDescent="0.25">
      <c r="A34" s="37" t="s">
        <v>92</v>
      </c>
      <c r="D34" s="76"/>
    </row>
    <row r="35" spans="1:4" s="37" customFormat="1" ht="28.05" customHeight="1" x14ac:dyDescent="0.25">
      <c r="A35" s="83" t="s">
        <v>93</v>
      </c>
      <c r="D35" s="76"/>
    </row>
    <row r="36" spans="1:4" s="37" customFormat="1" ht="28.05" customHeight="1" x14ac:dyDescent="0.25">
      <c r="A36" s="78" t="s">
        <v>58</v>
      </c>
      <c r="D36" s="76"/>
    </row>
    <row r="37" spans="1:4" s="37" customFormat="1" ht="28.05" customHeight="1" x14ac:dyDescent="0.25">
      <c r="A37" s="37" t="s">
        <v>94</v>
      </c>
      <c r="D37" s="76"/>
    </row>
    <row r="38" spans="1:4" s="37" customFormat="1" ht="28.05" customHeight="1" x14ac:dyDescent="0.25">
      <c r="A38" s="81">
        <f>2160+944</f>
        <v>3104</v>
      </c>
      <c r="D38" s="76"/>
    </row>
    <row r="39" spans="1:4" s="37" customFormat="1" ht="28.05" customHeight="1" x14ac:dyDescent="0.25">
      <c r="D39" s="76"/>
    </row>
    <row r="40" spans="1:4" s="37" customFormat="1" ht="28.05" customHeight="1" x14ac:dyDescent="0.25">
      <c r="A40" s="79"/>
      <c r="D40" s="76"/>
    </row>
    <row r="41" spans="1:4" s="37" customFormat="1" ht="28.05" customHeight="1" x14ac:dyDescent="0.25">
      <c r="A41" s="75"/>
      <c r="D41" s="76"/>
    </row>
    <row r="42" spans="1:4" s="37" customFormat="1" ht="28.05" customHeight="1" x14ac:dyDescent="0.25">
      <c r="A42" s="75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s="37" customFormat="1" ht="28.05" customHeight="1" x14ac:dyDescent="0.25">
      <c r="A45" s="75"/>
      <c r="D45" s="76"/>
    </row>
    <row r="46" spans="1:4" s="37" customFormat="1" ht="28.05" customHeight="1" x14ac:dyDescent="0.25">
      <c r="A46" s="75"/>
      <c r="D46" s="76"/>
    </row>
    <row r="47" spans="1:4" ht="17.399999999999999" x14ac:dyDescent="0.25">
      <c r="A47" s="75"/>
    </row>
    <row r="48" spans="1:4" ht="17.399999999999999" x14ac:dyDescent="0.25">
      <c r="A48" s="75"/>
    </row>
    <row r="49" spans="1:1" ht="17.399999999999999" x14ac:dyDescent="0.25">
      <c r="A49" s="75"/>
    </row>
    <row r="50" spans="1:1" ht="17.399999999999999" x14ac:dyDescent="0.25">
      <c r="A50" s="75"/>
    </row>
  </sheetData>
  <mergeCells count="5"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6"/>
  <sheetViews>
    <sheetView zoomScale="85" zoomScaleNormal="85" workbookViewId="0">
      <selection activeCell="J5" sqref="J5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0.3984375" style="24" customWidth="1"/>
    <col min="6" max="16384" width="8.796875" style="24"/>
  </cols>
  <sheetData>
    <row r="1" spans="1:7" ht="27.6" customHeight="1" x14ac:dyDescent="0.25">
      <c r="A1" s="23"/>
      <c r="D1" s="95" t="s">
        <v>102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4</v>
      </c>
      <c r="B4" s="28">
        <v>550</v>
      </c>
      <c r="C4" s="26">
        <f>B4*0.8</f>
        <v>440</v>
      </c>
      <c r="D4" s="58"/>
      <c r="E4" s="71"/>
    </row>
    <row r="5" spans="1:7" ht="30" customHeight="1" x14ac:dyDescent="0.25">
      <c r="A5" s="65" t="s">
        <v>22</v>
      </c>
      <c r="B5" s="28">
        <v>850</v>
      </c>
      <c r="C5" s="26">
        <f t="shared" ref="C5:C11" si="0">B5*0.8</f>
        <v>680</v>
      </c>
      <c r="D5" s="53"/>
      <c r="E5" s="29"/>
    </row>
    <row r="6" spans="1:7" ht="30" customHeight="1" x14ac:dyDescent="0.25">
      <c r="A6" s="65" t="s">
        <v>13</v>
      </c>
      <c r="B6" s="28">
        <v>500</v>
      </c>
      <c r="C6" s="26">
        <f t="shared" si="0"/>
        <v>400</v>
      </c>
      <c r="D6" s="58"/>
      <c r="E6" s="29"/>
    </row>
    <row r="7" spans="1:7" ht="30" customHeight="1" x14ac:dyDescent="0.25">
      <c r="A7" s="65" t="s">
        <v>3</v>
      </c>
      <c r="B7" s="28">
        <v>200</v>
      </c>
      <c r="C7" s="26">
        <f t="shared" si="0"/>
        <v>160</v>
      </c>
      <c r="D7" s="53"/>
      <c r="E7" s="29"/>
      <c r="G7" s="52"/>
    </row>
    <row r="8" spans="1:7" ht="30" customHeight="1" x14ac:dyDescent="0.25">
      <c r="A8" s="65" t="s">
        <v>103</v>
      </c>
      <c r="B8" s="28">
        <v>260</v>
      </c>
      <c r="C8" s="26">
        <f t="shared" si="0"/>
        <v>208</v>
      </c>
      <c r="D8" s="53"/>
      <c r="E8" s="29"/>
      <c r="G8" s="52"/>
    </row>
    <row r="9" spans="1:7" ht="30" customHeight="1" x14ac:dyDescent="0.25">
      <c r="A9" s="47" t="s">
        <v>6</v>
      </c>
      <c r="B9" s="48">
        <f>SUM(B4:B8)</f>
        <v>2360</v>
      </c>
      <c r="C9" s="48">
        <f>SUM(C4:C8)</f>
        <v>1888</v>
      </c>
      <c r="D9" s="54"/>
      <c r="E9" s="54"/>
    </row>
    <row r="10" spans="1:7" ht="30" customHeight="1" x14ac:dyDescent="0.25">
      <c r="A10" s="44" t="s">
        <v>20</v>
      </c>
      <c r="B10" s="28">
        <v>320</v>
      </c>
      <c r="C10" s="26">
        <f t="shared" si="0"/>
        <v>256</v>
      </c>
      <c r="D10" s="69"/>
      <c r="E10" s="69"/>
    </row>
    <row r="11" spans="1:7" ht="30" customHeight="1" x14ac:dyDescent="0.25">
      <c r="A11" s="44" t="s">
        <v>81</v>
      </c>
      <c r="B11" s="28">
        <v>1260</v>
      </c>
      <c r="C11" s="26">
        <f t="shared" si="0"/>
        <v>1008</v>
      </c>
      <c r="D11" s="58"/>
      <c r="E11" s="69"/>
    </row>
    <row r="12" spans="1:7" ht="30" customHeight="1" x14ac:dyDescent="0.25">
      <c r="A12" s="49" t="s">
        <v>23</v>
      </c>
      <c r="B12" s="50">
        <f>SUM(B10:B11)</f>
        <v>1580</v>
      </c>
      <c r="C12" s="64">
        <f>SUM(C10:C11)</f>
        <v>1264</v>
      </c>
      <c r="D12" s="55"/>
      <c r="E12" s="55"/>
    </row>
    <row r="13" spans="1:7" ht="34.799999999999997" customHeight="1" x14ac:dyDescent="0.25">
      <c r="A13" s="45" t="s">
        <v>6</v>
      </c>
      <c r="B13" s="46">
        <f>B9+B12</f>
        <v>3940</v>
      </c>
      <c r="C13" s="46">
        <f>C9+C12</f>
        <v>3152</v>
      </c>
      <c r="D13" s="56"/>
      <c r="E13" s="56"/>
    </row>
    <row r="14" spans="1:7" s="66" customFormat="1" ht="30" customHeight="1" x14ac:dyDescent="0.25">
      <c r="A14" s="66" t="s">
        <v>24</v>
      </c>
      <c r="C14" s="70"/>
      <c r="D14" s="68"/>
    </row>
    <row r="15" spans="1:7" s="66" customFormat="1" ht="30" customHeight="1" x14ac:dyDescent="0.25">
      <c r="A15" s="67" t="s">
        <v>50</v>
      </c>
      <c r="D15" s="68"/>
    </row>
    <row r="16" spans="1:7" s="66" customFormat="1" ht="30" customHeight="1" x14ac:dyDescent="0.25">
      <c r="A16" s="66" t="s">
        <v>25</v>
      </c>
      <c r="D16" s="68"/>
    </row>
    <row r="18" spans="1:9" s="37" customFormat="1" ht="28.05" customHeight="1" x14ac:dyDescent="0.25">
      <c r="A18" s="75" t="s">
        <v>86</v>
      </c>
      <c r="D18" s="76"/>
    </row>
    <row r="19" spans="1:9" s="37" customFormat="1" ht="28.05" customHeight="1" x14ac:dyDescent="0.25">
      <c r="A19" s="37" t="s">
        <v>87</v>
      </c>
      <c r="D19" s="76"/>
      <c r="I19" s="37">
        <f>1050*0.8</f>
        <v>840</v>
      </c>
    </row>
    <row r="20" spans="1:9" s="37" customFormat="1" ht="28.05" customHeight="1" x14ac:dyDescent="0.25">
      <c r="A20" s="37" t="s">
        <v>83</v>
      </c>
      <c r="D20" s="76"/>
    </row>
    <row r="21" spans="1:9" s="37" customFormat="1" ht="28.05" customHeight="1" x14ac:dyDescent="0.25">
      <c r="A21" s="37" t="s">
        <v>82</v>
      </c>
      <c r="D21" s="76"/>
    </row>
    <row r="22" spans="1:9" s="37" customFormat="1" ht="28.05" customHeight="1" x14ac:dyDescent="0.25">
      <c r="A22" s="37" t="s">
        <v>84</v>
      </c>
      <c r="D22" s="76"/>
    </row>
    <row r="23" spans="1:9" s="37" customFormat="1" ht="28.05" customHeight="1" x14ac:dyDescent="0.25">
      <c r="A23" s="83" t="s">
        <v>85</v>
      </c>
      <c r="D23" s="76"/>
    </row>
    <row r="24" spans="1:9" s="37" customFormat="1" ht="17.399999999999999" x14ac:dyDescent="0.25">
      <c r="A24" s="78" t="s">
        <v>58</v>
      </c>
      <c r="D24" s="76"/>
    </row>
    <row r="25" spans="1:9" s="37" customFormat="1" ht="28.05" customHeight="1" x14ac:dyDescent="0.25">
      <c r="D25" s="76"/>
    </row>
    <row r="26" spans="1:9" s="37" customFormat="1" ht="28.05" customHeight="1" x14ac:dyDescent="0.25">
      <c r="A26" s="75" t="s">
        <v>86</v>
      </c>
      <c r="D26" s="76"/>
    </row>
    <row r="27" spans="1:9" s="37" customFormat="1" ht="28.05" customHeight="1" x14ac:dyDescent="0.25">
      <c r="A27" s="37" t="s">
        <v>88</v>
      </c>
      <c r="D27" s="76"/>
    </row>
    <row r="28" spans="1:9" s="37" customFormat="1" ht="28.05" customHeight="1" x14ac:dyDescent="0.25">
      <c r="A28" s="37" t="s">
        <v>89</v>
      </c>
      <c r="D28" s="76"/>
    </row>
    <row r="29" spans="1:9" s="37" customFormat="1" ht="28.05" customHeight="1" x14ac:dyDescent="0.25">
      <c r="A29" s="37" t="s">
        <v>90</v>
      </c>
      <c r="D29" s="76"/>
    </row>
    <row r="30" spans="1:9" s="37" customFormat="1" ht="28.05" customHeight="1" x14ac:dyDescent="0.25">
      <c r="A30" s="37" t="s">
        <v>92</v>
      </c>
      <c r="D30" s="76"/>
    </row>
    <row r="31" spans="1:9" s="37" customFormat="1" ht="28.05" customHeight="1" x14ac:dyDescent="0.25">
      <c r="A31" s="83" t="s">
        <v>93</v>
      </c>
      <c r="D31" s="76"/>
    </row>
    <row r="32" spans="1:9" s="37" customFormat="1" ht="28.05" customHeight="1" x14ac:dyDescent="0.25">
      <c r="A32" s="78" t="s">
        <v>58</v>
      </c>
      <c r="D32" s="76"/>
    </row>
    <row r="33" spans="1:4" s="37" customFormat="1" ht="28.05" customHeight="1" x14ac:dyDescent="0.25">
      <c r="A33" s="37" t="s">
        <v>94</v>
      </c>
      <c r="D33" s="76"/>
    </row>
    <row r="34" spans="1:4" s="37" customFormat="1" ht="28.05" customHeight="1" x14ac:dyDescent="0.25">
      <c r="A34" s="81">
        <f>2160+944</f>
        <v>3104</v>
      </c>
      <c r="D34" s="76"/>
    </row>
    <row r="35" spans="1:4" s="37" customFormat="1" ht="28.05" customHeight="1" x14ac:dyDescent="0.25">
      <c r="D35" s="76"/>
    </row>
    <row r="36" spans="1:4" s="37" customFormat="1" ht="28.05" customHeight="1" x14ac:dyDescent="0.25">
      <c r="A36" s="79"/>
      <c r="D36" s="76"/>
    </row>
    <row r="37" spans="1:4" s="37" customFormat="1" ht="28.05" customHeight="1" x14ac:dyDescent="0.25">
      <c r="A37" s="75"/>
      <c r="D37" s="76"/>
    </row>
    <row r="38" spans="1:4" s="37" customFormat="1" ht="28.05" customHeight="1" x14ac:dyDescent="0.25">
      <c r="A38" s="75"/>
      <c r="D38" s="76"/>
    </row>
    <row r="39" spans="1:4" s="37" customFormat="1" ht="28.05" customHeight="1" x14ac:dyDescent="0.25">
      <c r="A39" s="75"/>
      <c r="D39" s="76"/>
    </row>
    <row r="40" spans="1:4" s="37" customFormat="1" ht="28.05" customHeight="1" x14ac:dyDescent="0.25">
      <c r="A40" s="75"/>
      <c r="D40" s="76"/>
    </row>
    <row r="41" spans="1:4" s="37" customFormat="1" ht="28.05" customHeight="1" x14ac:dyDescent="0.25">
      <c r="A41" s="75"/>
      <c r="D41" s="76"/>
    </row>
    <row r="42" spans="1:4" s="37" customFormat="1" ht="28.05" customHeight="1" x14ac:dyDescent="0.25">
      <c r="A42" s="75"/>
      <c r="D42" s="76"/>
    </row>
    <row r="43" spans="1:4" ht="17.399999999999999" x14ac:dyDescent="0.25">
      <c r="A43" s="75"/>
    </row>
    <row r="44" spans="1:4" ht="17.399999999999999" x14ac:dyDescent="0.25">
      <c r="A44" s="75"/>
    </row>
    <row r="45" spans="1:4" ht="17.399999999999999" x14ac:dyDescent="0.25">
      <c r="A45" s="75"/>
    </row>
    <row r="46" spans="1:4" ht="17.399999999999999" x14ac:dyDescent="0.25">
      <c r="A46" s="75"/>
    </row>
  </sheetData>
  <mergeCells count="5">
    <mergeCell ref="D1:E1"/>
    <mergeCell ref="A2:A3"/>
    <mergeCell ref="B2:B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"/>
  <sheetViews>
    <sheetView topLeftCell="A28" zoomScale="85" zoomScaleNormal="85" workbookViewId="0">
      <selection activeCell="E4" sqref="E4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5.59765625" style="24" bestFit="1" customWidth="1"/>
    <col min="6" max="16384" width="8.796875" style="24"/>
  </cols>
  <sheetData>
    <row r="1" spans="1:7" ht="27.6" customHeight="1" x14ac:dyDescent="0.25">
      <c r="A1" s="23"/>
      <c r="D1" s="95" t="s">
        <v>104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4</v>
      </c>
      <c r="B4" s="28">
        <v>400</v>
      </c>
      <c r="C4" s="26">
        <f>B4*0.8</f>
        <v>320</v>
      </c>
      <c r="D4" s="58"/>
      <c r="E4" s="88" t="s">
        <v>46</v>
      </c>
    </row>
    <row r="5" spans="1:7" ht="30" customHeight="1" x14ac:dyDescent="0.25">
      <c r="A5" s="65" t="s">
        <v>11</v>
      </c>
      <c r="B5" s="28">
        <v>950</v>
      </c>
      <c r="C5" s="26">
        <f t="shared" ref="C5:C15" si="0">B5*0.8</f>
        <v>760</v>
      </c>
      <c r="D5" s="53"/>
      <c r="E5" s="88" t="s">
        <v>46</v>
      </c>
    </row>
    <row r="6" spans="1:7" ht="30" customHeight="1" x14ac:dyDescent="0.25">
      <c r="A6" s="65" t="s">
        <v>5</v>
      </c>
      <c r="B6" s="28">
        <v>1000</v>
      </c>
      <c r="C6" s="26">
        <f t="shared" ref="C6" si="1">B6*0.8</f>
        <v>800</v>
      </c>
      <c r="D6" s="53"/>
      <c r="E6" s="88" t="s">
        <v>46</v>
      </c>
      <c r="G6" s="52"/>
    </row>
    <row r="7" spans="1:7" ht="30" customHeight="1" x14ac:dyDescent="0.25">
      <c r="A7" s="65" t="s">
        <v>21</v>
      </c>
      <c r="B7" s="28">
        <v>600</v>
      </c>
      <c r="C7" s="26">
        <f t="shared" ref="C7:C8" si="2">B7*0.8</f>
        <v>480</v>
      </c>
      <c r="D7" s="53"/>
      <c r="E7" s="88" t="s">
        <v>46</v>
      </c>
    </row>
    <row r="8" spans="1:7" ht="30" customHeight="1" x14ac:dyDescent="0.25">
      <c r="A8" s="65" t="s">
        <v>22</v>
      </c>
      <c r="B8" s="28">
        <v>750</v>
      </c>
      <c r="C8" s="26">
        <f t="shared" si="2"/>
        <v>600</v>
      </c>
      <c r="D8" s="53"/>
      <c r="E8" s="88" t="s">
        <v>46</v>
      </c>
    </row>
    <row r="9" spans="1:7" ht="30" customHeight="1" x14ac:dyDescent="0.25">
      <c r="A9" s="65" t="s">
        <v>13</v>
      </c>
      <c r="B9" s="28">
        <v>500</v>
      </c>
      <c r="C9" s="26">
        <f t="shared" si="0"/>
        <v>400</v>
      </c>
      <c r="D9" s="58"/>
      <c r="E9" s="88" t="s">
        <v>46</v>
      </c>
    </row>
    <row r="10" spans="1:7" ht="30" customHeight="1" x14ac:dyDescent="0.25">
      <c r="A10" s="47" t="s">
        <v>6</v>
      </c>
      <c r="B10" s="48">
        <f>SUM(B4:B9)</f>
        <v>4200</v>
      </c>
      <c r="C10" s="48">
        <f>SUM(C4:C9)</f>
        <v>3360</v>
      </c>
      <c r="D10" s="54"/>
      <c r="E10" s="54"/>
    </row>
    <row r="11" spans="1:7" ht="30" customHeight="1" x14ac:dyDescent="0.25">
      <c r="A11" s="44" t="s">
        <v>17</v>
      </c>
      <c r="B11" s="28">
        <v>510</v>
      </c>
      <c r="C11" s="26">
        <f t="shared" ref="C11" si="3">B11*0.8</f>
        <v>408</v>
      </c>
      <c r="D11" s="69"/>
      <c r="E11" s="88" t="s">
        <v>137</v>
      </c>
    </row>
    <row r="12" spans="1:7" ht="30" customHeight="1" x14ac:dyDescent="0.25">
      <c r="A12" s="44" t="s">
        <v>18</v>
      </c>
      <c r="B12" s="28">
        <v>2000</v>
      </c>
      <c r="C12" s="26">
        <v>500</v>
      </c>
      <c r="D12" s="86" t="s">
        <v>106</v>
      </c>
      <c r="E12" s="88" t="s">
        <v>137</v>
      </c>
    </row>
    <row r="13" spans="1:7" ht="30" customHeight="1" x14ac:dyDescent="0.25">
      <c r="A13" s="44" t="s">
        <v>19</v>
      </c>
      <c r="B13" s="28">
        <v>600</v>
      </c>
      <c r="C13" s="26">
        <v>600</v>
      </c>
      <c r="D13" s="86" t="s">
        <v>105</v>
      </c>
      <c r="E13" s="88" t="s">
        <v>137</v>
      </c>
    </row>
    <row r="14" spans="1:7" ht="30" customHeight="1" x14ac:dyDescent="0.25">
      <c r="A14" s="44" t="s">
        <v>20</v>
      </c>
      <c r="B14" s="28">
        <v>600</v>
      </c>
      <c r="C14" s="26">
        <f t="shared" si="0"/>
        <v>480</v>
      </c>
      <c r="D14" s="69"/>
      <c r="E14" s="88" t="s">
        <v>137</v>
      </c>
    </row>
    <row r="15" spans="1:7" ht="30" customHeight="1" x14ac:dyDescent="0.25">
      <c r="A15" s="44" t="s">
        <v>81</v>
      </c>
      <c r="B15" s="28">
        <v>520</v>
      </c>
      <c r="C15" s="26">
        <f t="shared" si="0"/>
        <v>416</v>
      </c>
      <c r="D15" s="58"/>
      <c r="E15" s="88" t="s">
        <v>137</v>
      </c>
    </row>
    <row r="16" spans="1:7" ht="30" customHeight="1" x14ac:dyDescent="0.25">
      <c r="A16" s="49" t="s">
        <v>23</v>
      </c>
      <c r="B16" s="50">
        <f>SUM(B11:B15)</f>
        <v>4230</v>
      </c>
      <c r="C16" s="64">
        <f>SUM(C11:C15)</f>
        <v>2404</v>
      </c>
      <c r="D16" s="55"/>
      <c r="E16" s="55"/>
    </row>
    <row r="17" spans="1:9" ht="34.799999999999997" hidden="1" customHeight="1" x14ac:dyDescent="0.25">
      <c r="A17" s="45" t="s">
        <v>6</v>
      </c>
      <c r="B17" s="46">
        <f>B10+B16</f>
        <v>8430</v>
      </c>
      <c r="C17" s="46">
        <f>C10+C16</f>
        <v>5764</v>
      </c>
      <c r="D17" s="56"/>
      <c r="E17" s="56"/>
    </row>
    <row r="18" spans="1:9" s="66" customFormat="1" ht="30" customHeight="1" x14ac:dyDescent="0.25">
      <c r="A18" s="66" t="s">
        <v>24</v>
      </c>
      <c r="C18" s="70"/>
      <c r="D18" s="68"/>
    </row>
    <row r="19" spans="1:9" s="66" customFormat="1" ht="30" customHeight="1" x14ac:dyDescent="0.25">
      <c r="A19" s="67" t="s">
        <v>50</v>
      </c>
      <c r="D19" s="68"/>
    </row>
    <row r="20" spans="1:9" s="66" customFormat="1" ht="30" customHeight="1" x14ac:dyDescent="0.25">
      <c r="A20" s="66" t="s">
        <v>25</v>
      </c>
      <c r="D20" s="68"/>
    </row>
    <row r="22" spans="1:9" s="37" customFormat="1" ht="28.05" customHeight="1" x14ac:dyDescent="0.25">
      <c r="A22" s="75" t="s">
        <v>86</v>
      </c>
      <c r="D22" s="76"/>
    </row>
    <row r="23" spans="1:9" s="37" customFormat="1" ht="28.05" customHeight="1" x14ac:dyDescent="0.25">
      <c r="A23" s="37" t="s">
        <v>87</v>
      </c>
      <c r="D23" s="76"/>
      <c r="I23" s="37">
        <f>1050*0.8</f>
        <v>840</v>
      </c>
    </row>
    <row r="24" spans="1:9" s="37" customFormat="1" ht="28.05" customHeight="1" x14ac:dyDescent="0.25">
      <c r="A24" s="37" t="s">
        <v>83</v>
      </c>
      <c r="D24" s="76"/>
    </row>
    <row r="25" spans="1:9" s="37" customFormat="1" ht="28.05" customHeight="1" x14ac:dyDescent="0.25">
      <c r="A25" s="37" t="s">
        <v>82</v>
      </c>
      <c r="D25" s="76"/>
    </row>
    <row r="26" spans="1:9" s="37" customFormat="1" ht="28.05" customHeight="1" x14ac:dyDescent="0.25">
      <c r="A26" s="37" t="s">
        <v>84</v>
      </c>
      <c r="D26" s="76"/>
    </row>
    <row r="27" spans="1:9" s="37" customFormat="1" ht="28.05" customHeight="1" x14ac:dyDescent="0.25">
      <c r="A27" s="83" t="s">
        <v>85</v>
      </c>
      <c r="D27" s="76"/>
    </row>
    <row r="28" spans="1:9" s="37" customFormat="1" ht="17.399999999999999" x14ac:dyDescent="0.25">
      <c r="A28" s="78" t="s">
        <v>58</v>
      </c>
      <c r="D28" s="76"/>
    </row>
    <row r="29" spans="1:9" s="37" customFormat="1" ht="28.05" customHeight="1" x14ac:dyDescent="0.25">
      <c r="D29" s="76"/>
    </row>
    <row r="30" spans="1:9" s="37" customFormat="1" ht="28.05" customHeight="1" x14ac:dyDescent="0.25">
      <c r="A30" s="75" t="s">
        <v>86</v>
      </c>
      <c r="D30" s="76"/>
    </row>
    <row r="31" spans="1:9" s="37" customFormat="1" ht="28.05" customHeight="1" x14ac:dyDescent="0.25">
      <c r="A31" s="37" t="s">
        <v>88</v>
      </c>
      <c r="D31" s="76"/>
    </row>
    <row r="32" spans="1:9" s="37" customFormat="1" ht="28.05" customHeight="1" x14ac:dyDescent="0.25">
      <c r="A32" s="37" t="s">
        <v>89</v>
      </c>
      <c r="D32" s="76"/>
    </row>
    <row r="33" spans="1:4" s="37" customFormat="1" ht="28.05" customHeight="1" x14ac:dyDescent="0.25">
      <c r="A33" s="37" t="s">
        <v>90</v>
      </c>
      <c r="D33" s="76"/>
    </row>
    <row r="34" spans="1:4" s="37" customFormat="1" ht="28.05" customHeight="1" x14ac:dyDescent="0.25">
      <c r="A34" s="37" t="s">
        <v>92</v>
      </c>
      <c r="D34" s="76"/>
    </row>
    <row r="35" spans="1:4" s="37" customFormat="1" ht="28.05" customHeight="1" x14ac:dyDescent="0.25">
      <c r="A35" s="83" t="s">
        <v>93</v>
      </c>
      <c r="D35" s="76"/>
    </row>
    <row r="36" spans="1:4" s="37" customFormat="1" ht="28.05" customHeight="1" x14ac:dyDescent="0.25">
      <c r="A36" s="78" t="s">
        <v>58</v>
      </c>
      <c r="D36" s="76"/>
    </row>
    <row r="37" spans="1:4" s="37" customFormat="1" ht="28.05" customHeight="1" x14ac:dyDescent="0.25">
      <c r="A37" s="37" t="s">
        <v>94</v>
      </c>
      <c r="D37" s="76"/>
    </row>
    <row r="38" spans="1:4" s="37" customFormat="1" ht="28.05" customHeight="1" x14ac:dyDescent="0.25">
      <c r="A38" s="81">
        <f>2160+944</f>
        <v>3104</v>
      </c>
      <c r="D38" s="76"/>
    </row>
    <row r="39" spans="1:4" s="37" customFormat="1" ht="28.05" customHeight="1" x14ac:dyDescent="0.25">
      <c r="D39" s="76"/>
    </row>
    <row r="40" spans="1:4" s="37" customFormat="1" ht="28.05" customHeight="1" x14ac:dyDescent="0.25">
      <c r="A40" s="79"/>
      <c r="D40" s="76"/>
    </row>
    <row r="41" spans="1:4" s="37" customFormat="1" ht="28.05" customHeight="1" x14ac:dyDescent="0.25">
      <c r="A41" s="75"/>
      <c r="D41" s="76"/>
    </row>
    <row r="42" spans="1:4" s="37" customFormat="1" ht="28.05" customHeight="1" x14ac:dyDescent="0.25">
      <c r="A42" s="75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s="37" customFormat="1" ht="28.05" customHeight="1" x14ac:dyDescent="0.25">
      <c r="A45" s="75"/>
      <c r="D45" s="76"/>
    </row>
    <row r="46" spans="1:4" s="37" customFormat="1" ht="28.05" customHeight="1" x14ac:dyDescent="0.25">
      <c r="A46" s="75"/>
      <c r="D46" s="76"/>
    </row>
    <row r="47" spans="1:4" ht="17.399999999999999" x14ac:dyDescent="0.25">
      <c r="A47" s="75"/>
    </row>
    <row r="48" spans="1:4" ht="17.399999999999999" x14ac:dyDescent="0.25">
      <c r="A48" s="75"/>
    </row>
    <row r="49" spans="1:1" ht="17.399999999999999" x14ac:dyDescent="0.25">
      <c r="A49" s="75"/>
    </row>
    <row r="50" spans="1:1" ht="17.399999999999999" x14ac:dyDescent="0.25">
      <c r="A50" s="75"/>
    </row>
  </sheetData>
  <mergeCells count="5">
    <mergeCell ref="D1:E1"/>
    <mergeCell ref="A2:A3"/>
    <mergeCell ref="B2:B3"/>
    <mergeCell ref="D2:D3"/>
    <mergeCell ref="E2:E3"/>
  </mergeCells>
  <dataValidations count="1">
    <dataValidation type="list" allowBlank="1" showInputMessage="1" showErrorMessage="1" sqref="E4:E9 E11:E15" xr:uid="{00000000-0002-0000-0900-000000000000}">
      <formula1>"รอโอน, โอนแล้ว, หักลบยอดถูกล่าสุด"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6"/>
  <sheetViews>
    <sheetView zoomScale="70" zoomScaleNormal="70" workbookViewId="0">
      <selection activeCell="D8" sqref="D8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7.59765625" style="24" customWidth="1"/>
    <col min="6" max="16384" width="8.796875" style="24"/>
  </cols>
  <sheetData>
    <row r="1" spans="1:7" ht="27.6" customHeight="1" x14ac:dyDescent="0.25">
      <c r="A1" s="23"/>
      <c r="D1" s="95" t="s">
        <v>135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21</v>
      </c>
      <c r="B4" s="28">
        <v>400</v>
      </c>
      <c r="C4" s="26">
        <f>B4*0.8</f>
        <v>320</v>
      </c>
      <c r="D4" s="58"/>
      <c r="E4" s="88" t="s">
        <v>136</v>
      </c>
    </row>
    <row r="5" spans="1:7" ht="30" customHeight="1" x14ac:dyDescent="0.25">
      <c r="A5" s="65" t="s">
        <v>13</v>
      </c>
      <c r="B5" s="28">
        <v>700</v>
      </c>
      <c r="C5" s="26">
        <f t="shared" ref="C5:C10" si="0">B5*0.8</f>
        <v>560</v>
      </c>
      <c r="D5" s="53"/>
      <c r="E5" s="88" t="s">
        <v>136</v>
      </c>
    </row>
    <row r="6" spans="1:7" ht="30" customHeight="1" x14ac:dyDescent="0.25">
      <c r="A6" s="65" t="s">
        <v>114</v>
      </c>
      <c r="B6" s="28">
        <v>1100</v>
      </c>
      <c r="C6" s="26">
        <f t="shared" si="0"/>
        <v>880</v>
      </c>
      <c r="D6" s="53"/>
      <c r="E6" s="88" t="s">
        <v>136</v>
      </c>
      <c r="G6" s="52"/>
    </row>
    <row r="7" spans="1:7" ht="30" customHeight="1" x14ac:dyDescent="0.25">
      <c r="A7" s="65" t="s">
        <v>115</v>
      </c>
      <c r="B7" s="28">
        <v>900</v>
      </c>
      <c r="C7" s="26">
        <f t="shared" si="0"/>
        <v>720</v>
      </c>
      <c r="D7" s="53"/>
      <c r="E7" s="88" t="s">
        <v>136</v>
      </c>
    </row>
    <row r="8" spans="1:7" ht="30" customHeight="1" x14ac:dyDescent="0.25">
      <c r="A8" s="65" t="s">
        <v>116</v>
      </c>
      <c r="B8" s="28">
        <v>800</v>
      </c>
      <c r="C8" s="26">
        <f t="shared" si="0"/>
        <v>640</v>
      </c>
      <c r="D8" s="90" t="s">
        <v>139</v>
      </c>
      <c r="E8" s="91" t="s">
        <v>136</v>
      </c>
    </row>
    <row r="9" spans="1:7" ht="30" customHeight="1" x14ac:dyDescent="0.25">
      <c r="A9" s="65" t="s">
        <v>11</v>
      </c>
      <c r="B9" s="28">
        <v>1100</v>
      </c>
      <c r="C9" s="26">
        <f t="shared" si="0"/>
        <v>880</v>
      </c>
      <c r="D9" s="53"/>
      <c r="E9" s="88" t="s">
        <v>136</v>
      </c>
    </row>
    <row r="10" spans="1:7" ht="30" customHeight="1" x14ac:dyDescent="0.25">
      <c r="A10" s="65" t="s">
        <v>22</v>
      </c>
      <c r="B10" s="28">
        <v>750</v>
      </c>
      <c r="C10" s="26">
        <f t="shared" si="0"/>
        <v>600</v>
      </c>
      <c r="D10" s="53"/>
      <c r="E10" s="93" t="s">
        <v>46</v>
      </c>
    </row>
    <row r="11" spans="1:7" ht="30" customHeight="1" x14ac:dyDescent="0.25">
      <c r="A11" s="47" t="s">
        <v>6</v>
      </c>
      <c r="B11" s="48">
        <f>SUM(B4:B10)</f>
        <v>5750</v>
      </c>
      <c r="C11" s="48">
        <f>SUM(C4:C10)</f>
        <v>4600</v>
      </c>
      <c r="D11" s="54"/>
      <c r="E11" s="54"/>
    </row>
    <row r="12" spans="1:7" ht="30" customHeight="1" x14ac:dyDescent="0.25">
      <c r="A12" s="44" t="s">
        <v>17</v>
      </c>
      <c r="B12" s="28">
        <v>300</v>
      </c>
      <c r="C12" s="26">
        <f t="shared" ref="C12:C23" si="1">B12*0.8</f>
        <v>240</v>
      </c>
      <c r="D12" s="69" t="s">
        <v>118</v>
      </c>
      <c r="E12" s="89" t="s">
        <v>138</v>
      </c>
    </row>
    <row r="13" spans="1:7" ht="30" customHeight="1" x14ac:dyDescent="0.25">
      <c r="A13" s="44" t="s">
        <v>18</v>
      </c>
      <c r="B13" s="28">
        <v>720</v>
      </c>
      <c r="C13" s="26">
        <f t="shared" si="1"/>
        <v>576</v>
      </c>
      <c r="D13" s="69" t="s">
        <v>117</v>
      </c>
      <c r="E13" s="89" t="s">
        <v>138</v>
      </c>
    </row>
    <row r="14" spans="1:7" ht="30" customHeight="1" x14ac:dyDescent="0.25">
      <c r="A14" s="44" t="s">
        <v>19</v>
      </c>
      <c r="B14" s="28">
        <v>300</v>
      </c>
      <c r="C14" s="26">
        <f t="shared" si="1"/>
        <v>240</v>
      </c>
      <c r="D14" s="86"/>
      <c r="E14" s="88" t="s">
        <v>136</v>
      </c>
    </row>
    <row r="15" spans="1:7" ht="30" customHeight="1" x14ac:dyDescent="0.25">
      <c r="A15" s="44" t="s">
        <v>20</v>
      </c>
      <c r="B15" s="28">
        <v>320</v>
      </c>
      <c r="C15" s="26">
        <f t="shared" si="1"/>
        <v>256</v>
      </c>
      <c r="D15" s="69"/>
      <c r="E15" s="88" t="s">
        <v>136</v>
      </c>
    </row>
    <row r="16" spans="1:7" ht="30" customHeight="1" x14ac:dyDescent="0.25">
      <c r="A16" s="44" t="s">
        <v>81</v>
      </c>
      <c r="B16" s="28">
        <v>800</v>
      </c>
      <c r="C16" s="26">
        <f t="shared" si="1"/>
        <v>640</v>
      </c>
      <c r="D16" s="69"/>
      <c r="E16" s="88" t="s">
        <v>136</v>
      </c>
    </row>
    <row r="17" spans="1:5" ht="30" customHeight="1" x14ac:dyDescent="0.25">
      <c r="A17" s="44" t="s">
        <v>107</v>
      </c>
      <c r="B17" s="28">
        <v>280</v>
      </c>
      <c r="C17" s="26">
        <f t="shared" si="1"/>
        <v>224</v>
      </c>
      <c r="D17" s="69"/>
      <c r="E17" s="88" t="s">
        <v>136</v>
      </c>
    </row>
    <row r="18" spans="1:5" ht="30" customHeight="1" x14ac:dyDescent="0.25">
      <c r="A18" s="44" t="s">
        <v>108</v>
      </c>
      <c r="B18" s="28">
        <v>500</v>
      </c>
      <c r="C18" s="26">
        <f t="shared" si="1"/>
        <v>400</v>
      </c>
      <c r="D18" s="69"/>
      <c r="E18" s="88" t="s">
        <v>136</v>
      </c>
    </row>
    <row r="19" spans="1:5" ht="30" customHeight="1" x14ac:dyDescent="0.25">
      <c r="A19" s="44" t="s">
        <v>109</v>
      </c>
      <c r="B19" s="28">
        <v>90</v>
      </c>
      <c r="C19" s="26">
        <f t="shared" si="1"/>
        <v>72</v>
      </c>
      <c r="D19" s="69"/>
      <c r="E19" s="88" t="s">
        <v>136</v>
      </c>
    </row>
    <row r="20" spans="1:5" ht="30" customHeight="1" x14ac:dyDescent="0.25">
      <c r="A20" s="44" t="s">
        <v>110</v>
      </c>
      <c r="B20" s="28">
        <v>2000</v>
      </c>
      <c r="C20" s="26">
        <v>2000</v>
      </c>
      <c r="D20" s="86" t="s">
        <v>105</v>
      </c>
      <c r="E20" s="88" t="s">
        <v>136</v>
      </c>
    </row>
    <row r="21" spans="1:5" ht="30" customHeight="1" x14ac:dyDescent="0.25">
      <c r="A21" s="44" t="s">
        <v>111</v>
      </c>
      <c r="B21" s="28">
        <v>2000</v>
      </c>
      <c r="C21" s="26">
        <v>500</v>
      </c>
      <c r="D21" s="86" t="s">
        <v>106</v>
      </c>
      <c r="E21" s="88" t="s">
        <v>136</v>
      </c>
    </row>
    <row r="22" spans="1:5" ht="30" customHeight="1" x14ac:dyDescent="0.25">
      <c r="A22" s="44" t="s">
        <v>112</v>
      </c>
      <c r="B22" s="28">
        <v>550</v>
      </c>
      <c r="C22" s="26">
        <f t="shared" si="1"/>
        <v>440</v>
      </c>
      <c r="D22" s="69"/>
      <c r="E22" s="88" t="s">
        <v>136</v>
      </c>
    </row>
    <row r="23" spans="1:5" ht="30" customHeight="1" x14ac:dyDescent="0.25">
      <c r="A23" s="44" t="s">
        <v>113</v>
      </c>
      <c r="B23" s="28">
        <v>850</v>
      </c>
      <c r="C23" s="26">
        <f t="shared" si="1"/>
        <v>680</v>
      </c>
      <c r="D23" s="69"/>
      <c r="E23" s="88" t="s">
        <v>136</v>
      </c>
    </row>
    <row r="24" spans="1:5" ht="30" customHeight="1" x14ac:dyDescent="0.25">
      <c r="A24" s="49" t="s">
        <v>23</v>
      </c>
      <c r="B24" s="50">
        <f>SUM(B12:B23)</f>
        <v>8710</v>
      </c>
      <c r="C24" s="64">
        <f>SUM(C12:C23)-C12-C13</f>
        <v>5452</v>
      </c>
      <c r="D24" s="55"/>
      <c r="E24" s="55"/>
    </row>
    <row r="25" spans="1:5" ht="34.799999999999997" hidden="1" customHeight="1" x14ac:dyDescent="0.25">
      <c r="A25" s="45" t="s">
        <v>6</v>
      </c>
      <c r="B25" s="46">
        <f>B11+B24</f>
        <v>14460</v>
      </c>
      <c r="C25" s="46">
        <f>C11+C24</f>
        <v>10052</v>
      </c>
      <c r="D25" s="56"/>
      <c r="E25" s="56"/>
    </row>
    <row r="26" spans="1:5" s="66" customFormat="1" ht="30" customHeight="1" x14ac:dyDescent="0.25">
      <c r="A26" s="66" t="s">
        <v>24</v>
      </c>
      <c r="C26" s="70"/>
      <c r="D26" s="68"/>
    </row>
    <row r="27" spans="1:5" s="66" customFormat="1" ht="30" customHeight="1" x14ac:dyDescent="0.25">
      <c r="A27" s="67" t="s">
        <v>50</v>
      </c>
      <c r="D27" s="68"/>
    </row>
    <row r="28" spans="1:5" s="66" customFormat="1" ht="30" customHeight="1" x14ac:dyDescent="0.25">
      <c r="A28" s="66" t="s">
        <v>25</v>
      </c>
      <c r="D28" s="68"/>
    </row>
    <row r="30" spans="1:5" s="37" customFormat="1" ht="28.05" customHeight="1" x14ac:dyDescent="0.25">
      <c r="A30" s="75" t="s">
        <v>140</v>
      </c>
      <c r="D30" s="76"/>
    </row>
    <row r="31" spans="1:5" s="37" customFormat="1" ht="28.05" customHeight="1" x14ac:dyDescent="0.25">
      <c r="A31" s="37" t="s">
        <v>120</v>
      </c>
      <c r="D31" s="76"/>
    </row>
    <row r="32" spans="1:5" s="37" customFormat="1" ht="28.05" customHeight="1" x14ac:dyDescent="0.25">
      <c r="A32" s="37" t="s">
        <v>141</v>
      </c>
      <c r="D32" s="76"/>
    </row>
    <row r="33" spans="1:4" s="37" customFormat="1" ht="28.05" customHeight="1" x14ac:dyDescent="0.25">
      <c r="A33" s="37" t="s">
        <v>82</v>
      </c>
      <c r="D33" s="76"/>
    </row>
    <row r="34" spans="1:4" s="37" customFormat="1" ht="28.05" customHeight="1" x14ac:dyDescent="0.25">
      <c r="A34" s="37" t="s">
        <v>142</v>
      </c>
      <c r="D34" s="76"/>
    </row>
    <row r="35" spans="1:4" s="37" customFormat="1" ht="28.05" customHeight="1" x14ac:dyDescent="0.25">
      <c r="A35" s="92" t="s">
        <v>143</v>
      </c>
      <c r="D35" s="76"/>
    </row>
    <row r="36" spans="1:4" s="37" customFormat="1" ht="28.05" customHeight="1" x14ac:dyDescent="0.25">
      <c r="A36" s="83" t="s">
        <v>144</v>
      </c>
      <c r="D36" s="76"/>
    </row>
    <row r="37" spans="1:4" s="37" customFormat="1" ht="28.05" customHeight="1" x14ac:dyDescent="0.25">
      <c r="A37" s="37" t="s">
        <v>123</v>
      </c>
      <c r="D37" s="76"/>
    </row>
    <row r="38" spans="1:4" s="37" customFormat="1" ht="28.05" customHeight="1" x14ac:dyDescent="0.25">
      <c r="A38" s="37" t="s">
        <v>150</v>
      </c>
      <c r="D38" s="76"/>
    </row>
    <row r="39" spans="1:4" s="37" customFormat="1" ht="28.05" customHeight="1" x14ac:dyDescent="0.25">
      <c r="A39" s="37" t="s">
        <v>145</v>
      </c>
      <c r="D39" s="76"/>
    </row>
    <row r="40" spans="1:4" s="37" customFormat="1" ht="28.05" customHeight="1" x14ac:dyDescent="0.25">
      <c r="A40" s="37" t="s">
        <v>146</v>
      </c>
      <c r="D40" s="76"/>
    </row>
    <row r="41" spans="1:4" s="37" customFormat="1" ht="28.05" customHeight="1" x14ac:dyDescent="0.25">
      <c r="A41" s="83" t="s">
        <v>147</v>
      </c>
      <c r="D41" s="76"/>
    </row>
    <row r="42" spans="1:4" s="37" customFormat="1" ht="28.05" customHeight="1" x14ac:dyDescent="0.25">
      <c r="A42" s="37" t="s">
        <v>148</v>
      </c>
      <c r="D42" s="76"/>
    </row>
    <row r="43" spans="1:4" s="37" customFormat="1" ht="28.05" customHeight="1" x14ac:dyDescent="0.25">
      <c r="A43" s="37" t="s">
        <v>149</v>
      </c>
      <c r="D43" s="76"/>
    </row>
    <row r="44" spans="1:4" s="37" customFormat="1" ht="28.05" customHeight="1" x14ac:dyDescent="0.25">
      <c r="A44" s="37" t="s">
        <v>151</v>
      </c>
      <c r="D44" s="76"/>
    </row>
    <row r="45" spans="1:4" s="37" customFormat="1" ht="28.05" customHeight="1" x14ac:dyDescent="0.25">
      <c r="A45" s="37" t="s">
        <v>152</v>
      </c>
      <c r="D45" s="76"/>
    </row>
    <row r="46" spans="1:4" s="37" customFormat="1" ht="28.05" customHeight="1" x14ac:dyDescent="0.25">
      <c r="A46" s="83" t="s">
        <v>153</v>
      </c>
      <c r="D46" s="76"/>
    </row>
    <row r="47" spans="1:4" s="37" customFormat="1" ht="28.05" customHeight="1" x14ac:dyDescent="0.25">
      <c r="A47" s="37" t="s">
        <v>154</v>
      </c>
      <c r="D47" s="76"/>
    </row>
    <row r="48" spans="1:4" s="37" customFormat="1" ht="28.05" customHeight="1" x14ac:dyDescent="0.25">
      <c r="A48" s="37" t="s">
        <v>155</v>
      </c>
      <c r="D48" s="76"/>
    </row>
    <row r="49" spans="1:4" s="37" customFormat="1" ht="28.05" customHeight="1" x14ac:dyDescent="0.25">
      <c r="A49" s="37" t="s">
        <v>156</v>
      </c>
      <c r="D49" s="76"/>
    </row>
    <row r="50" spans="1:4" s="37" customFormat="1" ht="28.05" customHeight="1" x14ac:dyDescent="0.25">
      <c r="A50" s="37" t="s">
        <v>157</v>
      </c>
      <c r="D50" s="76"/>
    </row>
    <row r="51" spans="1:4" s="37" customFormat="1" ht="28.05" customHeight="1" x14ac:dyDescent="0.25">
      <c r="A51" s="83" t="s">
        <v>158</v>
      </c>
      <c r="D51" s="76"/>
    </row>
    <row r="52" spans="1:4" s="37" customFormat="1" ht="28.05" customHeight="1" x14ac:dyDescent="0.25">
      <c r="A52" s="78" t="s">
        <v>58</v>
      </c>
      <c r="D52" s="76"/>
    </row>
    <row r="53" spans="1:4" s="37" customFormat="1" ht="28.05" customHeight="1" x14ac:dyDescent="0.25">
      <c r="A53" s="37" t="s">
        <v>134</v>
      </c>
      <c r="D53" s="76"/>
    </row>
    <row r="54" spans="1:4" s="37" customFormat="1" ht="28.05" customHeight="1" x14ac:dyDescent="0.25">
      <c r="A54" s="87">
        <f>360+2424</f>
        <v>2784</v>
      </c>
      <c r="D54" s="76"/>
    </row>
    <row r="55" spans="1:4" s="37" customFormat="1" ht="28.05" customHeight="1" x14ac:dyDescent="0.25">
      <c r="D55" s="76"/>
    </row>
    <row r="56" spans="1:4" s="37" customFormat="1" ht="28.05" customHeight="1" x14ac:dyDescent="0.25">
      <c r="A56" s="79"/>
      <c r="D56" s="76"/>
    </row>
    <row r="57" spans="1:4" s="37" customFormat="1" ht="28.05" customHeight="1" x14ac:dyDescent="0.25">
      <c r="A57" s="75"/>
      <c r="D57" s="76"/>
    </row>
    <row r="58" spans="1:4" s="37" customFormat="1" ht="28.05" customHeight="1" x14ac:dyDescent="0.25">
      <c r="A58" s="75"/>
      <c r="D58" s="76"/>
    </row>
    <row r="59" spans="1:4" s="37" customFormat="1" ht="28.05" customHeight="1" x14ac:dyDescent="0.25">
      <c r="A59" s="75"/>
      <c r="D59" s="76"/>
    </row>
    <row r="60" spans="1:4" s="37" customFormat="1" ht="28.05" customHeight="1" x14ac:dyDescent="0.25">
      <c r="A60" s="75"/>
      <c r="D60" s="76"/>
    </row>
    <row r="61" spans="1:4" s="37" customFormat="1" ht="28.05" customHeight="1" x14ac:dyDescent="0.25">
      <c r="A61" s="75"/>
      <c r="D61" s="76"/>
    </row>
    <row r="62" spans="1:4" s="37" customFormat="1" ht="28.05" customHeight="1" x14ac:dyDescent="0.25">
      <c r="A62" s="75"/>
      <c r="D62" s="76"/>
    </row>
    <row r="63" spans="1:4" s="37" customFormat="1" ht="28.05" customHeight="1" x14ac:dyDescent="0.25">
      <c r="A63" s="75"/>
      <c r="D63" s="76"/>
    </row>
    <row r="64" spans="1:4" ht="17.399999999999999" x14ac:dyDescent="0.25">
      <c r="A64" s="75"/>
    </row>
    <row r="65" spans="1:1" ht="17.399999999999999" x14ac:dyDescent="0.25">
      <c r="A65" s="75"/>
    </row>
    <row r="66" spans="1:1" ht="17.399999999999999" x14ac:dyDescent="0.25">
      <c r="A66" s="75"/>
    </row>
  </sheetData>
  <mergeCells count="5">
    <mergeCell ref="D1:E1"/>
    <mergeCell ref="A2:A3"/>
    <mergeCell ref="B2:B3"/>
    <mergeCell ref="D2:D3"/>
    <mergeCell ref="E2:E3"/>
  </mergeCells>
  <dataValidations count="1">
    <dataValidation type="list" allowBlank="1" showInputMessage="1" showErrorMessage="1" sqref="E4:E10 E12:E23" xr:uid="{00000000-0002-0000-0A00-000000000000}">
      <formula1>"รอโอน, โอนแล้ว, หักลบยอดถูกล่าสุด, ไม่มี คชจ"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7"/>
  <sheetViews>
    <sheetView topLeftCell="A20" zoomScale="85" zoomScaleNormal="85" workbookViewId="0">
      <selection activeCell="E25" sqref="A1:E25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7.59765625" style="24" customWidth="1"/>
    <col min="6" max="16384" width="8.796875" style="24"/>
  </cols>
  <sheetData>
    <row r="1" spans="1:7" ht="27.6" customHeight="1" x14ac:dyDescent="0.25">
      <c r="A1" s="23"/>
      <c r="D1" s="95" t="s">
        <v>159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hidden="1" customHeight="1" x14ac:dyDescent="0.25">
      <c r="A4" s="65" t="s">
        <v>21</v>
      </c>
      <c r="B4" s="28">
        <v>400</v>
      </c>
      <c r="C4" s="26">
        <f>B4*0.8</f>
        <v>320</v>
      </c>
      <c r="D4" s="58"/>
      <c r="E4" s="88" t="s">
        <v>136</v>
      </c>
    </row>
    <row r="5" spans="1:7" ht="30" hidden="1" customHeight="1" x14ac:dyDescent="0.25">
      <c r="A5" s="65" t="s">
        <v>13</v>
      </c>
      <c r="B5" s="28">
        <v>400</v>
      </c>
      <c r="C5" s="26">
        <f t="shared" ref="C5:C7" si="0">B5*0.8</f>
        <v>320</v>
      </c>
      <c r="D5" s="53"/>
      <c r="E5" s="88" t="s">
        <v>136</v>
      </c>
    </row>
    <row r="6" spans="1:7" ht="30" hidden="1" customHeight="1" x14ac:dyDescent="0.25">
      <c r="A6" s="65" t="s">
        <v>114</v>
      </c>
      <c r="B6" s="28">
        <v>400</v>
      </c>
      <c r="C6" s="26">
        <f t="shared" si="0"/>
        <v>320</v>
      </c>
      <c r="D6" s="53"/>
      <c r="E6" s="88" t="s">
        <v>136</v>
      </c>
      <c r="G6" s="52"/>
    </row>
    <row r="7" spans="1:7" ht="30" hidden="1" customHeight="1" x14ac:dyDescent="0.25">
      <c r="A7" s="65" t="s">
        <v>160</v>
      </c>
      <c r="B7" s="28">
        <v>200</v>
      </c>
      <c r="C7" s="26">
        <f t="shared" si="0"/>
        <v>160</v>
      </c>
      <c r="D7" s="53"/>
      <c r="E7" s="88" t="s">
        <v>136</v>
      </c>
    </row>
    <row r="8" spans="1:7" ht="30" hidden="1" customHeight="1" x14ac:dyDescent="0.25">
      <c r="A8" s="65" t="s">
        <v>11</v>
      </c>
      <c r="B8" s="28">
        <v>1100</v>
      </c>
      <c r="C8" s="26">
        <v>0</v>
      </c>
      <c r="D8" s="69" t="s">
        <v>161</v>
      </c>
      <c r="E8" s="93" t="s">
        <v>138</v>
      </c>
    </row>
    <row r="9" spans="1:7" ht="30" hidden="1" customHeight="1" x14ac:dyDescent="0.25">
      <c r="A9" s="65" t="s">
        <v>22</v>
      </c>
      <c r="B9" s="28">
        <v>750</v>
      </c>
      <c r="C9" s="26">
        <f t="shared" ref="C9" si="1">B9*0.8</f>
        <v>600</v>
      </c>
      <c r="D9" s="53"/>
      <c r="E9" s="88" t="s">
        <v>136</v>
      </c>
    </row>
    <row r="10" spans="1:7" ht="30" hidden="1" customHeight="1" x14ac:dyDescent="0.25">
      <c r="A10" s="47" t="s">
        <v>6</v>
      </c>
      <c r="B10" s="48">
        <f>SUM(B4:B9)</f>
        <v>3250</v>
      </c>
      <c r="C10" s="48">
        <f>SUM(C4:C9)</f>
        <v>1720</v>
      </c>
      <c r="D10" s="54"/>
      <c r="E10" s="54"/>
    </row>
    <row r="11" spans="1:7" ht="30" customHeight="1" x14ac:dyDescent="0.25">
      <c r="A11" s="44" t="s">
        <v>17</v>
      </c>
      <c r="B11" s="28">
        <v>2020</v>
      </c>
      <c r="C11" s="26">
        <f t="shared" ref="C11:C20" si="2">B11*0.8</f>
        <v>1616</v>
      </c>
      <c r="D11" s="69"/>
      <c r="E11" s="88" t="s">
        <v>136</v>
      </c>
    </row>
    <row r="12" spans="1:7" ht="30" customHeight="1" x14ac:dyDescent="0.25">
      <c r="A12" s="44" t="s">
        <v>18</v>
      </c>
      <c r="B12" s="28">
        <v>1500</v>
      </c>
      <c r="C12" s="26">
        <v>0</v>
      </c>
      <c r="D12" s="86" t="s">
        <v>162</v>
      </c>
      <c r="E12" s="89" t="s">
        <v>138</v>
      </c>
    </row>
    <row r="13" spans="1:7" ht="30" customHeight="1" x14ac:dyDescent="0.25">
      <c r="A13" s="44" t="s">
        <v>19</v>
      </c>
      <c r="B13" s="28">
        <v>440</v>
      </c>
      <c r="C13" s="26">
        <f t="shared" si="2"/>
        <v>352</v>
      </c>
      <c r="D13" s="86"/>
      <c r="E13" s="88" t="s">
        <v>136</v>
      </c>
    </row>
    <row r="14" spans="1:7" ht="30" customHeight="1" x14ac:dyDescent="0.25">
      <c r="A14" s="44" t="s">
        <v>20</v>
      </c>
      <c r="B14" s="28">
        <v>1000</v>
      </c>
      <c r="C14" s="26">
        <v>1000</v>
      </c>
      <c r="D14" s="86" t="s">
        <v>105</v>
      </c>
      <c r="E14" s="88" t="s">
        <v>136</v>
      </c>
    </row>
    <row r="15" spans="1:7" ht="30" customHeight="1" x14ac:dyDescent="0.25">
      <c r="A15" s="44" t="s">
        <v>81</v>
      </c>
      <c r="B15" s="28">
        <v>280</v>
      </c>
      <c r="C15" s="26">
        <f t="shared" si="2"/>
        <v>224</v>
      </c>
      <c r="D15" s="69"/>
      <c r="E15" s="88" t="s">
        <v>136</v>
      </c>
    </row>
    <row r="16" spans="1:7" ht="30" customHeight="1" x14ac:dyDescent="0.25">
      <c r="A16" s="44" t="s">
        <v>107</v>
      </c>
      <c r="B16" s="28">
        <v>1000</v>
      </c>
      <c r="C16" s="26">
        <v>100</v>
      </c>
      <c r="D16" s="86" t="s">
        <v>163</v>
      </c>
      <c r="E16" s="88" t="s">
        <v>136</v>
      </c>
    </row>
    <row r="17" spans="1:11" ht="30" customHeight="1" x14ac:dyDescent="0.25">
      <c r="A17" s="44" t="s">
        <v>108</v>
      </c>
      <c r="B17" s="28">
        <v>1380</v>
      </c>
      <c r="C17" s="26">
        <f t="shared" si="2"/>
        <v>1104</v>
      </c>
      <c r="D17" s="69"/>
      <c r="E17" s="88" t="s">
        <v>136</v>
      </c>
    </row>
    <row r="18" spans="1:11" ht="30" customHeight="1" x14ac:dyDescent="0.25">
      <c r="A18" s="44" t="s">
        <v>109</v>
      </c>
      <c r="B18" s="28">
        <v>540</v>
      </c>
      <c r="C18" s="26">
        <f t="shared" si="2"/>
        <v>432</v>
      </c>
      <c r="D18" s="69"/>
      <c r="E18" s="88" t="s">
        <v>136</v>
      </c>
    </row>
    <row r="19" spans="1:11" ht="30" customHeight="1" x14ac:dyDescent="0.25">
      <c r="A19" s="44" t="s">
        <v>110</v>
      </c>
      <c r="B19" s="28">
        <v>520</v>
      </c>
      <c r="C19" s="26">
        <v>0</v>
      </c>
      <c r="D19" s="69" t="s">
        <v>164</v>
      </c>
      <c r="E19" s="93" t="s">
        <v>138</v>
      </c>
    </row>
    <row r="20" spans="1:11" ht="30" customHeight="1" x14ac:dyDescent="0.25">
      <c r="A20" s="44" t="s">
        <v>111</v>
      </c>
      <c r="B20" s="28">
        <v>160</v>
      </c>
      <c r="C20" s="26">
        <f t="shared" si="2"/>
        <v>128</v>
      </c>
      <c r="D20" s="86"/>
      <c r="E20" s="88" t="s">
        <v>136</v>
      </c>
    </row>
    <row r="21" spans="1:11" ht="30" customHeight="1" x14ac:dyDescent="0.25">
      <c r="A21" s="49" t="s">
        <v>23</v>
      </c>
      <c r="B21" s="50">
        <f>SUM(B11:B20)</f>
        <v>8840</v>
      </c>
      <c r="C21" s="64">
        <f>SUM(C11:C20)</f>
        <v>4956</v>
      </c>
      <c r="D21" s="55"/>
      <c r="E21" s="55"/>
      <c r="J21" s="24">
        <v>6476</v>
      </c>
      <c r="K21" s="24">
        <f>J21-1720</f>
        <v>4756</v>
      </c>
    </row>
    <row r="22" spans="1:11" ht="34.799999999999997" hidden="1" customHeight="1" x14ac:dyDescent="0.25">
      <c r="A22" s="45" t="s">
        <v>6</v>
      </c>
      <c r="B22" s="46">
        <f>B10+B21</f>
        <v>12090</v>
      </c>
      <c r="C22" s="46">
        <f>C10+C21</f>
        <v>6676</v>
      </c>
      <c r="D22" s="56"/>
      <c r="E22" s="56"/>
      <c r="J22" s="94">
        <f>C22-J21</f>
        <v>200</v>
      </c>
    </row>
    <row r="23" spans="1:11" s="66" customFormat="1" ht="30" customHeight="1" x14ac:dyDescent="0.25">
      <c r="A23" s="66" t="s">
        <v>24</v>
      </c>
      <c r="C23" s="70"/>
      <c r="D23" s="68"/>
    </row>
    <row r="24" spans="1:11" s="66" customFormat="1" ht="30" customHeight="1" x14ac:dyDescent="0.25">
      <c r="A24" s="67" t="s">
        <v>50</v>
      </c>
      <c r="D24" s="68"/>
    </row>
    <row r="25" spans="1:11" s="66" customFormat="1" ht="30" customHeight="1" x14ac:dyDescent="0.25">
      <c r="A25" s="66" t="s">
        <v>25</v>
      </c>
      <c r="D25" s="68"/>
    </row>
    <row r="27" spans="1:11" s="37" customFormat="1" ht="28.05" customHeight="1" x14ac:dyDescent="0.25">
      <c r="A27" s="75" t="s">
        <v>119</v>
      </c>
      <c r="D27" s="76"/>
    </row>
    <row r="28" spans="1:11" s="37" customFormat="1" ht="28.05" customHeight="1" x14ac:dyDescent="0.25">
      <c r="A28" s="37" t="s">
        <v>120</v>
      </c>
      <c r="D28" s="76"/>
    </row>
    <row r="29" spans="1:11" s="37" customFormat="1" ht="28.05" customHeight="1" x14ac:dyDescent="0.25">
      <c r="A29" s="37" t="s">
        <v>89</v>
      </c>
      <c r="D29" s="76"/>
    </row>
    <row r="30" spans="1:11" s="37" customFormat="1" ht="28.05" customHeight="1" x14ac:dyDescent="0.25">
      <c r="A30" s="37" t="s">
        <v>122</v>
      </c>
      <c r="D30" s="76"/>
    </row>
    <row r="31" spans="1:11" s="37" customFormat="1" ht="28.05" customHeight="1" x14ac:dyDescent="0.25">
      <c r="A31" s="37" t="s">
        <v>121</v>
      </c>
      <c r="D31" s="76"/>
    </row>
    <row r="32" spans="1:11" s="37" customFormat="1" ht="28.05" customHeight="1" x14ac:dyDescent="0.25">
      <c r="A32" s="83" t="s">
        <v>132</v>
      </c>
      <c r="D32" s="76"/>
    </row>
    <row r="33" spans="1:4" s="37" customFormat="1" ht="28.05" customHeight="1" x14ac:dyDescent="0.25">
      <c r="A33" s="37" t="s">
        <v>123</v>
      </c>
      <c r="D33" s="76"/>
    </row>
    <row r="34" spans="1:4" s="37" customFormat="1" ht="28.05" customHeight="1" x14ac:dyDescent="0.25">
      <c r="A34" s="37" t="s">
        <v>127</v>
      </c>
      <c r="D34" s="76"/>
    </row>
    <row r="35" spans="1:4" s="37" customFormat="1" ht="28.05" customHeight="1" x14ac:dyDescent="0.25">
      <c r="A35" s="37" t="s">
        <v>125</v>
      </c>
      <c r="D35" s="76"/>
    </row>
    <row r="36" spans="1:4" s="37" customFormat="1" ht="28.05" customHeight="1" x14ac:dyDescent="0.25">
      <c r="A36" s="37" t="s">
        <v>126</v>
      </c>
      <c r="D36" s="76"/>
    </row>
    <row r="37" spans="1:4" s="37" customFormat="1" ht="28.05" customHeight="1" x14ac:dyDescent="0.25">
      <c r="A37" s="83" t="s">
        <v>131</v>
      </c>
      <c r="D37" s="76"/>
    </row>
    <row r="38" spans="1:4" s="37" customFormat="1" ht="28.05" customHeight="1" x14ac:dyDescent="0.25">
      <c r="A38" s="37" t="s">
        <v>124</v>
      </c>
      <c r="D38" s="76"/>
    </row>
    <row r="39" spans="1:4" s="37" customFormat="1" ht="28.05" customHeight="1" x14ac:dyDescent="0.25">
      <c r="A39" s="37" t="s">
        <v>128</v>
      </c>
      <c r="D39" s="76"/>
    </row>
    <row r="40" spans="1:4" s="37" customFormat="1" ht="28.05" customHeight="1" x14ac:dyDescent="0.25">
      <c r="A40" s="37" t="s">
        <v>129</v>
      </c>
      <c r="D40" s="76"/>
    </row>
    <row r="41" spans="1:4" s="37" customFormat="1" ht="28.05" customHeight="1" x14ac:dyDescent="0.25">
      <c r="A41" s="37" t="s">
        <v>130</v>
      </c>
      <c r="D41" s="76"/>
    </row>
    <row r="42" spans="1:4" s="37" customFormat="1" ht="28.05" customHeight="1" x14ac:dyDescent="0.25">
      <c r="A42" s="83" t="s">
        <v>133</v>
      </c>
      <c r="D42" s="76"/>
    </row>
    <row r="43" spans="1:4" s="37" customFormat="1" ht="28.05" customHeight="1" x14ac:dyDescent="0.25">
      <c r="A43" s="78" t="s">
        <v>58</v>
      </c>
      <c r="D43" s="76"/>
    </row>
    <row r="44" spans="1:4" s="37" customFormat="1" ht="28.05" customHeight="1" x14ac:dyDescent="0.25">
      <c r="A44" s="37" t="s">
        <v>134</v>
      </c>
      <c r="D44" s="76"/>
    </row>
    <row r="45" spans="1:4" s="37" customFormat="1" ht="28.05" customHeight="1" x14ac:dyDescent="0.25">
      <c r="A45" s="87">
        <f>360+2424</f>
        <v>2784</v>
      </c>
      <c r="D45" s="76"/>
    </row>
    <row r="46" spans="1:4" s="37" customFormat="1" ht="28.05" customHeight="1" x14ac:dyDescent="0.25">
      <c r="D46" s="76"/>
    </row>
    <row r="47" spans="1:4" s="37" customFormat="1" ht="28.05" customHeight="1" x14ac:dyDescent="0.25">
      <c r="A47" s="79"/>
      <c r="D47" s="76"/>
    </row>
    <row r="48" spans="1:4" s="37" customFormat="1" ht="28.05" customHeight="1" x14ac:dyDescent="0.25">
      <c r="A48" s="75"/>
      <c r="D48" s="76"/>
    </row>
    <row r="49" spans="1:4" s="37" customFormat="1" ht="28.05" customHeight="1" x14ac:dyDescent="0.25">
      <c r="A49" s="75"/>
      <c r="D49" s="76"/>
    </row>
    <row r="50" spans="1:4" s="37" customFormat="1" ht="28.05" customHeight="1" x14ac:dyDescent="0.25">
      <c r="A50" s="75"/>
      <c r="D50" s="76"/>
    </row>
    <row r="51" spans="1:4" s="37" customFormat="1" ht="28.05" customHeight="1" x14ac:dyDescent="0.25">
      <c r="A51" s="75"/>
      <c r="D51" s="76"/>
    </row>
    <row r="52" spans="1:4" s="37" customFormat="1" ht="28.05" customHeight="1" x14ac:dyDescent="0.25">
      <c r="A52" s="75"/>
      <c r="D52" s="76"/>
    </row>
    <row r="53" spans="1:4" s="37" customFormat="1" ht="28.05" customHeight="1" x14ac:dyDescent="0.25">
      <c r="A53" s="75"/>
      <c r="D53" s="76"/>
    </row>
    <row r="54" spans="1:4" s="37" customFormat="1" ht="28.05" customHeight="1" x14ac:dyDescent="0.25">
      <c r="A54" s="75"/>
      <c r="D54" s="76"/>
    </row>
    <row r="55" spans="1:4" ht="17.399999999999999" x14ac:dyDescent="0.25">
      <c r="A55" s="75"/>
    </row>
    <row r="56" spans="1:4" ht="17.399999999999999" x14ac:dyDescent="0.25">
      <c r="A56" s="75"/>
    </row>
    <row r="57" spans="1:4" ht="17.399999999999999" x14ac:dyDescent="0.25">
      <c r="A57" s="75"/>
    </row>
  </sheetData>
  <mergeCells count="5">
    <mergeCell ref="D1:E1"/>
    <mergeCell ref="A2:A3"/>
    <mergeCell ref="B2:B3"/>
    <mergeCell ref="D2:D3"/>
    <mergeCell ref="E2:E3"/>
  </mergeCells>
  <dataValidations count="1">
    <dataValidation type="list" allowBlank="1" showInputMessage="1" showErrorMessage="1" sqref="E4:E9 E11:E20" xr:uid="{00000000-0002-0000-0B00-000000000000}">
      <formula1>"รอโอน, โอนแล้ว, หักลบยอดถูกล่าสุด, ไม่มี คชจ"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5"/>
  <sheetViews>
    <sheetView zoomScale="70" zoomScaleNormal="70" workbookViewId="0">
      <selection activeCell="D8" sqref="D8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7.59765625" style="24" customWidth="1"/>
    <col min="6" max="16384" width="8.796875" style="24"/>
  </cols>
  <sheetData>
    <row r="1" spans="1:7" ht="27.6" customHeight="1" x14ac:dyDescent="0.25">
      <c r="A1" s="23"/>
      <c r="D1" s="95" t="s">
        <v>167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21</v>
      </c>
      <c r="B4" s="28">
        <v>600</v>
      </c>
      <c r="C4" s="26">
        <f>B4*0.8</f>
        <v>480</v>
      </c>
      <c r="D4" s="58"/>
      <c r="E4" s="88" t="s">
        <v>136</v>
      </c>
    </row>
    <row r="5" spans="1:7" ht="30" customHeight="1" x14ac:dyDescent="0.25">
      <c r="A5" s="65" t="s">
        <v>13</v>
      </c>
      <c r="B5" s="28">
        <v>400</v>
      </c>
      <c r="C5" s="26">
        <f t="shared" ref="C5:C7" si="0">B5*0.8</f>
        <v>320</v>
      </c>
      <c r="D5" s="53"/>
      <c r="E5" s="88" t="s">
        <v>136</v>
      </c>
    </row>
    <row r="6" spans="1:7" ht="30" customHeight="1" x14ac:dyDescent="0.25">
      <c r="A6" s="65" t="s">
        <v>114</v>
      </c>
      <c r="B6" s="28">
        <v>700</v>
      </c>
      <c r="C6" s="26">
        <f t="shared" si="0"/>
        <v>560</v>
      </c>
      <c r="D6" s="53"/>
      <c r="E6" s="88" t="s">
        <v>136</v>
      </c>
      <c r="G6" s="52"/>
    </row>
    <row r="7" spans="1:7" ht="30" customHeight="1" x14ac:dyDescent="0.25">
      <c r="A7" s="65" t="s">
        <v>160</v>
      </c>
      <c r="B7" s="28">
        <v>400</v>
      </c>
      <c r="C7" s="26">
        <f t="shared" si="0"/>
        <v>320</v>
      </c>
      <c r="D7" s="53"/>
      <c r="E7" s="88" t="s">
        <v>136</v>
      </c>
    </row>
    <row r="8" spans="1:7" ht="30" customHeight="1" x14ac:dyDescent="0.25">
      <c r="A8" s="65" t="s">
        <v>11</v>
      </c>
      <c r="B8" s="28">
        <v>1000</v>
      </c>
      <c r="C8" s="26">
        <v>0</v>
      </c>
      <c r="D8" s="69" t="s">
        <v>166</v>
      </c>
      <c r="E8" s="93" t="s">
        <v>138</v>
      </c>
    </row>
    <row r="9" spans="1:7" ht="30" customHeight="1" x14ac:dyDescent="0.25">
      <c r="A9" s="65" t="s">
        <v>31</v>
      </c>
      <c r="B9" s="28">
        <v>1700</v>
      </c>
      <c r="C9" s="26">
        <f t="shared" ref="C9" si="1">B9*0.8</f>
        <v>1360</v>
      </c>
      <c r="D9" s="53"/>
      <c r="E9" s="88" t="s">
        <v>136</v>
      </c>
    </row>
    <row r="10" spans="1:7" ht="30" customHeight="1" x14ac:dyDescent="0.25">
      <c r="A10" s="65" t="s">
        <v>22</v>
      </c>
      <c r="B10" s="28">
        <v>950</v>
      </c>
      <c r="C10" s="26">
        <f t="shared" ref="C10" si="2">B10*0.8</f>
        <v>760</v>
      </c>
      <c r="D10" s="53"/>
      <c r="E10" s="88" t="s">
        <v>136</v>
      </c>
    </row>
    <row r="11" spans="1:7" ht="30" customHeight="1" x14ac:dyDescent="0.25">
      <c r="A11" s="47" t="s">
        <v>6</v>
      </c>
      <c r="B11" s="48">
        <f>SUM(B4:B10)</f>
        <v>5750</v>
      </c>
      <c r="C11" s="48">
        <f>SUM(C4:C10)</f>
        <v>3800</v>
      </c>
      <c r="D11" s="54"/>
      <c r="E11" s="54"/>
    </row>
    <row r="12" spans="1:7" ht="30" customHeight="1" x14ac:dyDescent="0.25">
      <c r="A12" s="44" t="s">
        <v>17</v>
      </c>
      <c r="B12" s="28">
        <v>1000</v>
      </c>
      <c r="C12" s="26">
        <v>1000</v>
      </c>
      <c r="D12" s="86" t="s">
        <v>105</v>
      </c>
      <c r="E12" s="88" t="s">
        <v>136</v>
      </c>
    </row>
    <row r="13" spans="1:7" ht="30" customHeight="1" x14ac:dyDescent="0.25">
      <c r="A13" s="44" t="s">
        <v>18</v>
      </c>
      <c r="B13" s="28">
        <v>1300</v>
      </c>
      <c r="C13" s="26">
        <v>1300</v>
      </c>
      <c r="D13" s="86" t="s">
        <v>105</v>
      </c>
      <c r="E13" s="88" t="s">
        <v>136</v>
      </c>
    </row>
    <row r="14" spans="1:7" ht="30" customHeight="1" x14ac:dyDescent="0.25">
      <c r="A14" s="44" t="s">
        <v>19</v>
      </c>
      <c r="B14" s="28">
        <v>520</v>
      </c>
      <c r="C14" s="26">
        <f t="shared" ref="C14:C18" si="3">B14*0.8</f>
        <v>416</v>
      </c>
      <c r="D14" s="86"/>
      <c r="E14" s="88" t="s">
        <v>136</v>
      </c>
    </row>
    <row r="15" spans="1:7" ht="30" customHeight="1" x14ac:dyDescent="0.25">
      <c r="A15" s="44" t="s">
        <v>20</v>
      </c>
      <c r="B15" s="28">
        <v>820</v>
      </c>
      <c r="C15" s="26">
        <f t="shared" si="3"/>
        <v>656</v>
      </c>
      <c r="D15" s="86"/>
      <c r="E15" s="88" t="s">
        <v>136</v>
      </c>
    </row>
    <row r="16" spans="1:7" ht="30" customHeight="1" x14ac:dyDescent="0.25">
      <c r="A16" s="44" t="s">
        <v>165</v>
      </c>
      <c r="B16" s="28">
        <v>500</v>
      </c>
      <c r="C16" s="26">
        <v>500</v>
      </c>
      <c r="D16" s="86" t="s">
        <v>105</v>
      </c>
      <c r="E16" s="88" t="s">
        <v>136</v>
      </c>
    </row>
    <row r="17" spans="1:11" ht="30" customHeight="1" x14ac:dyDescent="0.25">
      <c r="A17" s="44" t="s">
        <v>81</v>
      </c>
      <c r="B17" s="28">
        <v>800</v>
      </c>
      <c r="C17" s="26">
        <f t="shared" si="3"/>
        <v>640</v>
      </c>
      <c r="D17" s="69"/>
      <c r="E17" s="88" t="s">
        <v>136</v>
      </c>
    </row>
    <row r="18" spans="1:11" ht="30" customHeight="1" x14ac:dyDescent="0.25">
      <c r="A18" s="44" t="s">
        <v>107</v>
      </c>
      <c r="B18" s="28">
        <v>1220</v>
      </c>
      <c r="C18" s="26">
        <f t="shared" si="3"/>
        <v>976</v>
      </c>
      <c r="D18" s="69"/>
      <c r="E18" s="88" t="s">
        <v>136</v>
      </c>
    </row>
    <row r="19" spans="1:11" ht="30" customHeight="1" x14ac:dyDescent="0.25">
      <c r="A19" s="49" t="s">
        <v>23</v>
      </c>
      <c r="B19" s="50">
        <f>SUM(B12:B18)</f>
        <v>6160</v>
      </c>
      <c r="C19" s="64">
        <f>SUM(C12:C18)</f>
        <v>5488</v>
      </c>
      <c r="D19" s="55"/>
      <c r="E19" s="55"/>
      <c r="J19" s="24">
        <v>6476</v>
      </c>
      <c r="K19" s="24">
        <f>J19-1720</f>
        <v>4756</v>
      </c>
    </row>
    <row r="20" spans="1:11" ht="34.799999999999997" hidden="1" customHeight="1" x14ac:dyDescent="0.25">
      <c r="A20" s="45" t="s">
        <v>6</v>
      </c>
      <c r="B20" s="46">
        <f>B11+B19</f>
        <v>11910</v>
      </c>
      <c r="C20" s="46">
        <f>C11+C19</f>
        <v>9288</v>
      </c>
      <c r="D20" s="56"/>
      <c r="E20" s="56"/>
      <c r="J20" s="94">
        <f>C20-J19</f>
        <v>2812</v>
      </c>
    </row>
    <row r="21" spans="1:11" s="66" customFormat="1" ht="30" customHeight="1" x14ac:dyDescent="0.25">
      <c r="A21" s="66" t="s">
        <v>24</v>
      </c>
      <c r="C21" s="70"/>
      <c r="D21" s="68"/>
    </row>
    <row r="22" spans="1:11" s="66" customFormat="1" ht="30" customHeight="1" x14ac:dyDescent="0.25">
      <c r="A22" s="67" t="s">
        <v>50</v>
      </c>
      <c r="D22" s="68"/>
    </row>
    <row r="23" spans="1:11" s="66" customFormat="1" ht="30" customHeight="1" x14ac:dyDescent="0.25">
      <c r="A23" s="66" t="s">
        <v>25</v>
      </c>
      <c r="D23" s="68"/>
    </row>
    <row r="25" spans="1:11" s="37" customFormat="1" ht="28.05" customHeight="1" x14ac:dyDescent="0.25">
      <c r="A25" s="75" t="s">
        <v>119</v>
      </c>
      <c r="D25" s="76"/>
    </row>
    <row r="26" spans="1:11" s="37" customFormat="1" ht="28.05" customHeight="1" x14ac:dyDescent="0.25">
      <c r="A26" s="37" t="s">
        <v>120</v>
      </c>
      <c r="D26" s="76"/>
    </row>
    <row r="27" spans="1:11" s="37" customFormat="1" ht="28.05" customHeight="1" x14ac:dyDescent="0.25">
      <c r="A27" s="37" t="s">
        <v>89</v>
      </c>
      <c r="D27" s="76"/>
    </row>
    <row r="28" spans="1:11" s="37" customFormat="1" ht="28.05" customHeight="1" x14ac:dyDescent="0.25">
      <c r="A28" s="37" t="s">
        <v>122</v>
      </c>
      <c r="D28" s="76"/>
    </row>
    <row r="29" spans="1:11" s="37" customFormat="1" ht="28.05" customHeight="1" x14ac:dyDescent="0.25">
      <c r="A29" s="37" t="s">
        <v>121</v>
      </c>
      <c r="D29" s="76"/>
    </row>
    <row r="30" spans="1:11" s="37" customFormat="1" ht="28.05" customHeight="1" x14ac:dyDescent="0.25">
      <c r="A30" s="83" t="s">
        <v>132</v>
      </c>
      <c r="D30" s="76"/>
    </row>
    <row r="31" spans="1:11" s="37" customFormat="1" ht="28.05" customHeight="1" x14ac:dyDescent="0.25">
      <c r="A31" s="37" t="s">
        <v>123</v>
      </c>
      <c r="D31" s="76"/>
    </row>
    <row r="32" spans="1:11" s="37" customFormat="1" ht="28.05" customHeight="1" x14ac:dyDescent="0.25">
      <c r="A32" s="37" t="s">
        <v>127</v>
      </c>
      <c r="D32" s="76"/>
    </row>
    <row r="33" spans="1:4" s="37" customFormat="1" ht="28.05" customHeight="1" x14ac:dyDescent="0.25">
      <c r="A33" s="37" t="s">
        <v>125</v>
      </c>
      <c r="D33" s="76"/>
    </row>
    <row r="34" spans="1:4" s="37" customFormat="1" ht="28.05" customHeight="1" x14ac:dyDescent="0.25">
      <c r="A34" s="37" t="s">
        <v>126</v>
      </c>
      <c r="D34" s="76"/>
    </row>
    <row r="35" spans="1:4" s="37" customFormat="1" ht="28.05" customHeight="1" x14ac:dyDescent="0.25">
      <c r="A35" s="83" t="s">
        <v>131</v>
      </c>
      <c r="D35" s="76"/>
    </row>
    <row r="36" spans="1:4" s="37" customFormat="1" ht="28.05" customHeight="1" x14ac:dyDescent="0.25">
      <c r="A36" s="37" t="s">
        <v>124</v>
      </c>
      <c r="D36" s="76"/>
    </row>
    <row r="37" spans="1:4" s="37" customFormat="1" ht="28.05" customHeight="1" x14ac:dyDescent="0.25">
      <c r="A37" s="37" t="s">
        <v>128</v>
      </c>
      <c r="D37" s="76"/>
    </row>
    <row r="38" spans="1:4" s="37" customFormat="1" ht="28.05" customHeight="1" x14ac:dyDescent="0.25">
      <c r="A38" s="37" t="s">
        <v>129</v>
      </c>
      <c r="D38" s="76"/>
    </row>
    <row r="39" spans="1:4" s="37" customFormat="1" ht="28.05" customHeight="1" x14ac:dyDescent="0.25">
      <c r="A39" s="37" t="s">
        <v>130</v>
      </c>
      <c r="D39" s="76"/>
    </row>
    <row r="40" spans="1:4" s="37" customFormat="1" ht="28.05" customHeight="1" x14ac:dyDescent="0.25">
      <c r="A40" s="83" t="s">
        <v>133</v>
      </c>
      <c r="D40" s="76"/>
    </row>
    <row r="41" spans="1:4" s="37" customFormat="1" ht="28.05" customHeight="1" x14ac:dyDescent="0.25">
      <c r="A41" s="78" t="s">
        <v>58</v>
      </c>
      <c r="D41" s="76"/>
    </row>
    <row r="42" spans="1:4" s="37" customFormat="1" ht="28.05" customHeight="1" x14ac:dyDescent="0.25">
      <c r="A42" s="37" t="s">
        <v>134</v>
      </c>
      <c r="D42" s="76"/>
    </row>
    <row r="43" spans="1:4" s="37" customFormat="1" ht="28.05" customHeight="1" x14ac:dyDescent="0.25">
      <c r="A43" s="87">
        <f>360+2424</f>
        <v>2784</v>
      </c>
      <c r="D43" s="76"/>
    </row>
    <row r="44" spans="1:4" s="37" customFormat="1" ht="28.05" customHeight="1" x14ac:dyDescent="0.25">
      <c r="D44" s="76"/>
    </row>
    <row r="45" spans="1:4" s="37" customFormat="1" ht="28.05" customHeight="1" x14ac:dyDescent="0.25">
      <c r="A45" s="79"/>
      <c r="D45" s="76"/>
    </row>
    <row r="46" spans="1:4" s="37" customFormat="1" ht="28.05" customHeight="1" x14ac:dyDescent="0.25">
      <c r="A46" s="75"/>
      <c r="D46" s="76"/>
    </row>
    <row r="47" spans="1:4" s="37" customFormat="1" ht="28.05" customHeight="1" x14ac:dyDescent="0.25">
      <c r="A47" s="75"/>
      <c r="D47" s="76"/>
    </row>
    <row r="48" spans="1:4" s="37" customFormat="1" ht="28.05" customHeight="1" x14ac:dyDescent="0.25">
      <c r="A48" s="75"/>
      <c r="D48" s="76"/>
    </row>
    <row r="49" spans="1:4" s="37" customFormat="1" ht="28.05" customHeight="1" x14ac:dyDescent="0.25">
      <c r="A49" s="75"/>
      <c r="D49" s="76"/>
    </row>
    <row r="50" spans="1:4" s="37" customFormat="1" ht="28.05" customHeight="1" x14ac:dyDescent="0.25">
      <c r="A50" s="75"/>
      <c r="D50" s="76"/>
    </row>
    <row r="51" spans="1:4" s="37" customFormat="1" ht="28.05" customHeight="1" x14ac:dyDescent="0.25">
      <c r="A51" s="75"/>
      <c r="D51" s="76"/>
    </row>
    <row r="52" spans="1:4" s="37" customFormat="1" ht="28.05" customHeight="1" x14ac:dyDescent="0.25">
      <c r="A52" s="75"/>
      <c r="D52" s="76"/>
    </row>
    <row r="53" spans="1:4" ht="17.399999999999999" x14ac:dyDescent="0.25">
      <c r="A53" s="75"/>
    </row>
    <row r="54" spans="1:4" ht="17.399999999999999" x14ac:dyDescent="0.25">
      <c r="A54" s="75"/>
    </row>
    <row r="55" spans="1:4" ht="17.399999999999999" x14ac:dyDescent="0.25">
      <c r="A55" s="75"/>
    </row>
  </sheetData>
  <mergeCells count="5">
    <mergeCell ref="D1:E1"/>
    <mergeCell ref="A2:A3"/>
    <mergeCell ref="B2:B3"/>
    <mergeCell ref="D2:D3"/>
    <mergeCell ref="E2:E3"/>
  </mergeCells>
  <dataValidations count="1">
    <dataValidation type="list" allowBlank="1" showInputMessage="1" showErrorMessage="1" sqref="E4:E10 E12:E18" xr:uid="{00000000-0002-0000-0C00-000000000000}">
      <formula1>"รอโอน, โอนแล้ว, หักลบยอดถูกล่าสุด, ไม่มี คชจ"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6C1E-E4F1-428F-9E98-02BDA5388D5F}">
  <dimension ref="A1:K55"/>
  <sheetViews>
    <sheetView zoomScale="70" zoomScaleNormal="70" workbookViewId="0">
      <selection activeCell="K13" sqref="K13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39.59765625" style="41" bestFit="1" customWidth="1"/>
    <col min="5" max="5" width="17.59765625" style="24" customWidth="1"/>
    <col min="6" max="16384" width="8.796875" style="24"/>
  </cols>
  <sheetData>
    <row r="1" spans="1:7" ht="27.6" customHeight="1" x14ac:dyDescent="0.25">
      <c r="A1" s="23"/>
      <c r="D1" s="95" t="s">
        <v>172</v>
      </c>
      <c r="E1" s="95"/>
    </row>
    <row r="2" spans="1:7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7" ht="22.2" x14ac:dyDescent="0.25">
      <c r="A3" s="97"/>
      <c r="B3" s="97"/>
      <c r="C3" s="60" t="s">
        <v>10</v>
      </c>
      <c r="D3" s="97"/>
      <c r="E3" s="98"/>
    </row>
    <row r="4" spans="1:7" ht="30" customHeight="1" x14ac:dyDescent="0.25">
      <c r="A4" s="65" t="s">
        <v>168</v>
      </c>
      <c r="B4" s="28">
        <v>400</v>
      </c>
      <c r="C4" s="26">
        <f>B4*0.8</f>
        <v>320</v>
      </c>
      <c r="D4" s="103" t="s">
        <v>171</v>
      </c>
      <c r="E4" s="88" t="s">
        <v>136</v>
      </c>
    </row>
    <row r="5" spans="1:7" ht="30" customHeight="1" x14ac:dyDescent="0.25">
      <c r="A5" s="65" t="s">
        <v>169</v>
      </c>
      <c r="B5" s="28">
        <v>400</v>
      </c>
      <c r="C5" s="26">
        <f t="shared" ref="C5:C13" si="0">B5*0.8</f>
        <v>320</v>
      </c>
      <c r="D5" s="104"/>
      <c r="E5" s="91" t="s">
        <v>136</v>
      </c>
    </row>
    <row r="6" spans="1:7" ht="30" customHeight="1" x14ac:dyDescent="0.25">
      <c r="A6" s="65" t="s">
        <v>21</v>
      </c>
      <c r="B6" s="28">
        <v>600</v>
      </c>
      <c r="C6" s="26">
        <f t="shared" si="0"/>
        <v>480</v>
      </c>
      <c r="D6" s="53"/>
      <c r="E6" s="88" t="s">
        <v>136</v>
      </c>
      <c r="G6" s="52"/>
    </row>
    <row r="7" spans="1:7" ht="30" customHeight="1" x14ac:dyDescent="0.25">
      <c r="A7" s="65" t="s">
        <v>11</v>
      </c>
      <c r="B7" s="28">
        <v>800</v>
      </c>
      <c r="C7" s="26">
        <f t="shared" si="0"/>
        <v>640</v>
      </c>
      <c r="D7" s="53"/>
      <c r="E7" s="88" t="s">
        <v>136</v>
      </c>
    </row>
    <row r="8" spans="1:7" ht="30" customHeight="1" x14ac:dyDescent="0.25">
      <c r="A8" s="65" t="s">
        <v>4</v>
      </c>
      <c r="B8" s="28">
        <v>400</v>
      </c>
      <c r="C8" s="26">
        <f t="shared" si="0"/>
        <v>320</v>
      </c>
      <c r="D8" s="69"/>
      <c r="E8" s="88" t="s">
        <v>136</v>
      </c>
    </row>
    <row r="9" spans="1:7" ht="30" customHeight="1" x14ac:dyDescent="0.25">
      <c r="A9" s="65" t="s">
        <v>22</v>
      </c>
      <c r="B9" s="28">
        <v>750</v>
      </c>
      <c r="C9" s="26">
        <f t="shared" si="0"/>
        <v>600</v>
      </c>
      <c r="D9" s="53"/>
      <c r="E9" s="88" t="s">
        <v>136</v>
      </c>
    </row>
    <row r="10" spans="1:7" ht="30" customHeight="1" x14ac:dyDescent="0.25">
      <c r="A10" s="65" t="s">
        <v>14</v>
      </c>
      <c r="B10" s="28">
        <v>750</v>
      </c>
      <c r="C10" s="26">
        <f t="shared" si="0"/>
        <v>600</v>
      </c>
      <c r="D10" s="53"/>
      <c r="E10" s="88" t="s">
        <v>136</v>
      </c>
    </row>
    <row r="11" spans="1:7" ht="30" customHeight="1" x14ac:dyDescent="0.25">
      <c r="A11" s="47" t="s">
        <v>6</v>
      </c>
      <c r="B11" s="48">
        <f>SUM(B4:B10)</f>
        <v>4100</v>
      </c>
      <c r="C11" s="48">
        <f>SUM(C4:C10)</f>
        <v>3280</v>
      </c>
      <c r="D11" s="54"/>
      <c r="E11" s="54"/>
    </row>
    <row r="12" spans="1:7" ht="30" customHeight="1" x14ac:dyDescent="0.25">
      <c r="A12" s="44" t="s">
        <v>17</v>
      </c>
      <c r="B12" s="28">
        <v>750</v>
      </c>
      <c r="C12" s="26">
        <f t="shared" si="0"/>
        <v>600</v>
      </c>
      <c r="D12" s="86"/>
      <c r="E12" s="88" t="s">
        <v>136</v>
      </c>
    </row>
    <row r="13" spans="1:7" ht="30" customHeight="1" x14ac:dyDescent="0.25">
      <c r="A13" s="44" t="s">
        <v>18</v>
      </c>
      <c r="B13" s="28">
        <v>120</v>
      </c>
      <c r="C13" s="26">
        <f t="shared" si="0"/>
        <v>96</v>
      </c>
      <c r="D13" s="86"/>
      <c r="E13" s="88" t="s">
        <v>136</v>
      </c>
    </row>
    <row r="14" spans="1:7" ht="30" customHeight="1" x14ac:dyDescent="0.25">
      <c r="A14" s="44" t="s">
        <v>170</v>
      </c>
      <c r="B14" s="28">
        <v>1000</v>
      </c>
      <c r="C14" s="26">
        <v>0</v>
      </c>
      <c r="D14" s="86" t="s">
        <v>73</v>
      </c>
      <c r="E14" s="88" t="s">
        <v>136</v>
      </c>
    </row>
    <row r="15" spans="1:7" ht="30" customHeight="1" x14ac:dyDescent="0.25">
      <c r="A15" s="44" t="s">
        <v>20</v>
      </c>
      <c r="B15" s="28">
        <v>200</v>
      </c>
      <c r="C15" s="26">
        <f t="shared" ref="C15:C18" si="1">B15*0.8</f>
        <v>160</v>
      </c>
      <c r="D15" s="86"/>
      <c r="E15" s="88" t="s">
        <v>136</v>
      </c>
    </row>
    <row r="16" spans="1:7" ht="30" customHeight="1" x14ac:dyDescent="0.25">
      <c r="A16" s="44" t="s">
        <v>81</v>
      </c>
      <c r="B16" s="28">
        <v>560</v>
      </c>
      <c r="C16" s="26">
        <f t="shared" si="1"/>
        <v>448</v>
      </c>
      <c r="D16" s="86" t="s">
        <v>105</v>
      </c>
      <c r="E16" s="88" t="s">
        <v>136</v>
      </c>
    </row>
    <row r="17" spans="1:11" ht="30" customHeight="1" x14ac:dyDescent="0.25">
      <c r="A17" s="44"/>
      <c r="B17" s="28"/>
      <c r="C17" s="26">
        <f t="shared" si="1"/>
        <v>0</v>
      </c>
      <c r="D17" s="69"/>
      <c r="E17" s="88" t="s">
        <v>136</v>
      </c>
    </row>
    <row r="18" spans="1:11" ht="30" customHeight="1" x14ac:dyDescent="0.25">
      <c r="A18" s="44"/>
      <c r="B18" s="28"/>
      <c r="C18" s="26">
        <f t="shared" si="1"/>
        <v>0</v>
      </c>
      <c r="D18" s="69"/>
      <c r="E18" s="88" t="s">
        <v>136</v>
      </c>
    </row>
    <row r="19" spans="1:11" ht="30" customHeight="1" x14ac:dyDescent="0.25">
      <c r="A19" s="49" t="s">
        <v>23</v>
      </c>
      <c r="B19" s="50">
        <f>SUM(B12:B18)</f>
        <v>2630</v>
      </c>
      <c r="C19" s="64">
        <f>SUM(C12:C18)</f>
        <v>1304</v>
      </c>
      <c r="D19" s="55"/>
      <c r="E19" s="55"/>
      <c r="J19" s="24">
        <v>6476</v>
      </c>
      <c r="K19" s="24">
        <f>J19-1720</f>
        <v>4756</v>
      </c>
    </row>
    <row r="20" spans="1:11" ht="34.799999999999997" customHeight="1" x14ac:dyDescent="0.25">
      <c r="A20" s="45" t="s">
        <v>6</v>
      </c>
      <c r="B20" s="46">
        <f>B11+B19</f>
        <v>6730</v>
      </c>
      <c r="C20" s="46">
        <f>C11+C19</f>
        <v>4584</v>
      </c>
      <c r="D20" s="56"/>
      <c r="E20" s="56"/>
      <c r="J20" s="94">
        <f>C20-J19</f>
        <v>-1892</v>
      </c>
    </row>
    <row r="21" spans="1:11" s="66" customFormat="1" ht="30" customHeight="1" x14ac:dyDescent="0.25">
      <c r="A21" s="66" t="s">
        <v>24</v>
      </c>
      <c r="C21" s="70"/>
      <c r="D21" s="68"/>
    </row>
    <row r="22" spans="1:11" s="66" customFormat="1" ht="30" customHeight="1" x14ac:dyDescent="0.25">
      <c r="A22" s="67" t="s">
        <v>50</v>
      </c>
      <c r="D22" s="68"/>
    </row>
    <row r="23" spans="1:11" s="66" customFormat="1" ht="30" customHeight="1" x14ac:dyDescent="0.25">
      <c r="A23" s="66" t="s">
        <v>25</v>
      </c>
      <c r="D23" s="68"/>
    </row>
    <row r="25" spans="1:11" s="37" customFormat="1" ht="28.05" customHeight="1" x14ac:dyDescent="0.25">
      <c r="A25" s="75" t="s">
        <v>119</v>
      </c>
      <c r="D25" s="76"/>
    </row>
    <row r="26" spans="1:11" s="37" customFormat="1" ht="28.05" customHeight="1" x14ac:dyDescent="0.25">
      <c r="A26" s="37" t="s">
        <v>120</v>
      </c>
      <c r="D26" s="76"/>
    </row>
    <row r="27" spans="1:11" s="37" customFormat="1" ht="28.05" customHeight="1" x14ac:dyDescent="0.25">
      <c r="A27" s="37" t="s">
        <v>89</v>
      </c>
      <c r="D27" s="76"/>
    </row>
    <row r="28" spans="1:11" s="37" customFormat="1" ht="28.05" customHeight="1" x14ac:dyDescent="0.25">
      <c r="A28" s="37" t="s">
        <v>122</v>
      </c>
      <c r="D28" s="76"/>
    </row>
    <row r="29" spans="1:11" s="37" customFormat="1" ht="28.05" customHeight="1" x14ac:dyDescent="0.25">
      <c r="A29" s="37" t="s">
        <v>121</v>
      </c>
      <c r="D29" s="76"/>
    </row>
    <row r="30" spans="1:11" s="37" customFormat="1" ht="28.05" customHeight="1" x14ac:dyDescent="0.25">
      <c r="A30" s="83" t="s">
        <v>132</v>
      </c>
      <c r="D30" s="76"/>
    </row>
    <row r="31" spans="1:11" s="37" customFormat="1" ht="28.05" customHeight="1" x14ac:dyDescent="0.25">
      <c r="A31" s="37" t="s">
        <v>123</v>
      </c>
      <c r="D31" s="76"/>
    </row>
    <row r="32" spans="1:11" s="37" customFormat="1" ht="28.05" customHeight="1" x14ac:dyDescent="0.25">
      <c r="A32" s="37" t="s">
        <v>127</v>
      </c>
      <c r="D32" s="76"/>
    </row>
    <row r="33" spans="1:4" s="37" customFormat="1" ht="28.05" customHeight="1" x14ac:dyDescent="0.25">
      <c r="A33" s="37" t="s">
        <v>125</v>
      </c>
      <c r="D33" s="76"/>
    </row>
    <row r="34" spans="1:4" s="37" customFormat="1" ht="28.05" customHeight="1" x14ac:dyDescent="0.25">
      <c r="A34" s="37" t="s">
        <v>126</v>
      </c>
      <c r="D34" s="76"/>
    </row>
    <row r="35" spans="1:4" s="37" customFormat="1" ht="28.05" customHeight="1" x14ac:dyDescent="0.25">
      <c r="A35" s="83" t="s">
        <v>131</v>
      </c>
      <c r="D35" s="76"/>
    </row>
    <row r="36" spans="1:4" s="37" customFormat="1" ht="28.05" customHeight="1" x14ac:dyDescent="0.25">
      <c r="A36" s="37" t="s">
        <v>124</v>
      </c>
      <c r="D36" s="76"/>
    </row>
    <row r="37" spans="1:4" s="37" customFormat="1" ht="28.05" customHeight="1" x14ac:dyDescent="0.25">
      <c r="A37" s="37" t="s">
        <v>128</v>
      </c>
      <c r="D37" s="76"/>
    </row>
    <row r="38" spans="1:4" s="37" customFormat="1" ht="28.05" customHeight="1" x14ac:dyDescent="0.25">
      <c r="A38" s="37" t="s">
        <v>129</v>
      </c>
      <c r="D38" s="76"/>
    </row>
    <row r="39" spans="1:4" s="37" customFormat="1" ht="28.05" customHeight="1" x14ac:dyDescent="0.25">
      <c r="A39" s="37" t="s">
        <v>130</v>
      </c>
      <c r="D39" s="76"/>
    </row>
    <row r="40" spans="1:4" s="37" customFormat="1" ht="28.05" customHeight="1" x14ac:dyDescent="0.25">
      <c r="A40" s="83" t="s">
        <v>133</v>
      </c>
      <c r="D40" s="76"/>
    </row>
    <row r="41" spans="1:4" s="37" customFormat="1" ht="28.05" customHeight="1" x14ac:dyDescent="0.25">
      <c r="A41" s="78" t="s">
        <v>58</v>
      </c>
      <c r="D41" s="76"/>
    </row>
    <row r="42" spans="1:4" s="37" customFormat="1" ht="28.05" customHeight="1" x14ac:dyDescent="0.25">
      <c r="A42" s="37" t="s">
        <v>134</v>
      </c>
      <c r="D42" s="76"/>
    </row>
    <row r="43" spans="1:4" s="37" customFormat="1" ht="28.05" customHeight="1" x14ac:dyDescent="0.25">
      <c r="A43" s="87">
        <f>360+2424</f>
        <v>2784</v>
      </c>
      <c r="D43" s="76"/>
    </row>
    <row r="44" spans="1:4" s="37" customFormat="1" ht="28.05" customHeight="1" x14ac:dyDescent="0.25">
      <c r="D44" s="76"/>
    </row>
    <row r="45" spans="1:4" s="37" customFormat="1" ht="28.05" customHeight="1" x14ac:dyDescent="0.25">
      <c r="A45" s="79"/>
      <c r="D45" s="76"/>
    </row>
    <row r="46" spans="1:4" s="37" customFormat="1" ht="28.05" customHeight="1" x14ac:dyDescent="0.25">
      <c r="A46" s="75"/>
      <c r="D46" s="76"/>
    </row>
    <row r="47" spans="1:4" s="37" customFormat="1" ht="28.05" customHeight="1" x14ac:dyDescent="0.25">
      <c r="A47" s="75"/>
      <c r="D47" s="76"/>
    </row>
    <row r="48" spans="1:4" s="37" customFormat="1" ht="28.05" customHeight="1" x14ac:dyDescent="0.25">
      <c r="A48" s="75"/>
      <c r="D48" s="76"/>
    </row>
    <row r="49" spans="1:4" s="37" customFormat="1" ht="28.05" customHeight="1" x14ac:dyDescent="0.25">
      <c r="A49" s="75"/>
      <c r="D49" s="76"/>
    </row>
    <row r="50" spans="1:4" s="37" customFormat="1" ht="28.05" customHeight="1" x14ac:dyDescent="0.25">
      <c r="A50" s="75"/>
      <c r="D50" s="76"/>
    </row>
    <row r="51" spans="1:4" s="37" customFormat="1" ht="28.05" customHeight="1" x14ac:dyDescent="0.25">
      <c r="A51" s="75"/>
      <c r="D51" s="76"/>
    </row>
    <row r="52" spans="1:4" s="37" customFormat="1" ht="28.05" customHeight="1" x14ac:dyDescent="0.25">
      <c r="A52" s="75"/>
      <c r="D52" s="76"/>
    </row>
    <row r="53" spans="1:4" ht="17.399999999999999" x14ac:dyDescent="0.25">
      <c r="A53" s="75"/>
    </row>
    <row r="54" spans="1:4" ht="17.399999999999999" x14ac:dyDescent="0.25">
      <c r="A54" s="75"/>
    </row>
    <row r="55" spans="1:4" ht="17.399999999999999" x14ac:dyDescent="0.25">
      <c r="A55" s="75"/>
    </row>
  </sheetData>
  <mergeCells count="6">
    <mergeCell ref="D4:D5"/>
    <mergeCell ref="D1:E1"/>
    <mergeCell ref="A2:A3"/>
    <mergeCell ref="B2:B3"/>
    <mergeCell ref="D2:D3"/>
    <mergeCell ref="E2:E3"/>
  </mergeCells>
  <dataValidations count="1">
    <dataValidation type="list" allowBlank="1" showInputMessage="1" showErrorMessage="1" sqref="E12:E18 E4:E10" xr:uid="{59DE2554-5768-43FC-A953-A79E43F8EEFE}">
      <formula1>"รอโอน, โอนแล้ว, หักลบยอดถูกล่าสุด, ไม่มี คชจ"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AA49-9770-4F49-AC3C-B148E1D1FF10}">
  <dimension ref="A1:K52"/>
  <sheetViews>
    <sheetView tabSelected="1" zoomScale="70" zoomScaleNormal="70" workbookViewId="0">
      <selection activeCell="I10" sqref="H9:I10"/>
    </sheetView>
  </sheetViews>
  <sheetFormatPr defaultRowHeight="13.8" x14ac:dyDescent="0.25"/>
  <cols>
    <col min="1" max="1" width="37.296875" style="24" customWidth="1"/>
    <col min="2" max="2" width="14.09765625" style="24" customWidth="1"/>
    <col min="3" max="3" width="14.19921875" style="24" customWidth="1"/>
    <col min="4" max="4" width="57.69921875" style="41" bestFit="1" customWidth="1"/>
    <col min="5" max="5" width="17.59765625" style="24" customWidth="1"/>
    <col min="6" max="16384" width="8.796875" style="24"/>
  </cols>
  <sheetData>
    <row r="1" spans="1:11" ht="27.6" customHeight="1" x14ac:dyDescent="0.25">
      <c r="A1" s="23"/>
      <c r="D1" s="95" t="s">
        <v>173</v>
      </c>
      <c r="E1" s="95"/>
    </row>
    <row r="2" spans="1:11" ht="21" customHeight="1" x14ac:dyDescent="0.25">
      <c r="A2" s="96" t="s">
        <v>0</v>
      </c>
      <c r="B2" s="96" t="s">
        <v>1</v>
      </c>
      <c r="C2" s="59" t="s">
        <v>41</v>
      </c>
      <c r="D2" s="96" t="s">
        <v>2</v>
      </c>
      <c r="E2" s="98" t="s">
        <v>45</v>
      </c>
    </row>
    <row r="3" spans="1:11" ht="22.2" x14ac:dyDescent="0.25">
      <c r="A3" s="97"/>
      <c r="B3" s="97"/>
      <c r="C3" s="60" t="s">
        <v>10</v>
      </c>
      <c r="D3" s="97"/>
      <c r="E3" s="98"/>
    </row>
    <row r="4" spans="1:11" ht="30" customHeight="1" x14ac:dyDescent="0.25">
      <c r="A4" s="65" t="s">
        <v>22</v>
      </c>
      <c r="B4" s="28">
        <v>750</v>
      </c>
      <c r="C4" s="26">
        <f>B4*0.8</f>
        <v>600</v>
      </c>
      <c r="D4" s="53"/>
      <c r="E4" s="89" t="s">
        <v>46</v>
      </c>
    </row>
    <row r="5" spans="1:11" ht="30" customHeight="1" x14ac:dyDescent="0.25">
      <c r="A5" s="65" t="s">
        <v>14</v>
      </c>
      <c r="B5" s="28">
        <v>750</v>
      </c>
      <c r="C5" s="26">
        <f t="shared" ref="C5:C9" si="0">B5*0.8</f>
        <v>600</v>
      </c>
      <c r="D5" s="53"/>
      <c r="E5" s="91" t="s">
        <v>136</v>
      </c>
    </row>
    <row r="6" spans="1:11" ht="30" customHeight="1" x14ac:dyDescent="0.25">
      <c r="A6" s="65" t="s">
        <v>21</v>
      </c>
      <c r="B6" s="28">
        <v>600</v>
      </c>
      <c r="C6" s="26">
        <f t="shared" si="0"/>
        <v>480</v>
      </c>
      <c r="D6" s="53"/>
      <c r="E6" s="88" t="s">
        <v>136</v>
      </c>
      <c r="G6" s="52"/>
    </row>
    <row r="7" spans="1:11" ht="30" customHeight="1" x14ac:dyDescent="0.25">
      <c r="A7" s="65" t="s">
        <v>13</v>
      </c>
      <c r="B7" s="28">
        <v>700</v>
      </c>
      <c r="C7" s="26">
        <f t="shared" si="0"/>
        <v>560</v>
      </c>
      <c r="D7" s="53"/>
      <c r="E7" s="88" t="s">
        <v>136</v>
      </c>
    </row>
    <row r="8" spans="1:11" ht="30" customHeight="1" x14ac:dyDescent="0.25">
      <c r="A8" s="65" t="s">
        <v>11</v>
      </c>
      <c r="B8" s="28">
        <v>1100</v>
      </c>
      <c r="C8" s="26">
        <f t="shared" si="0"/>
        <v>880</v>
      </c>
      <c r="D8" s="69"/>
      <c r="E8" s="88" t="s">
        <v>136</v>
      </c>
    </row>
    <row r="9" spans="1:11" ht="30" customHeight="1" x14ac:dyDescent="0.25">
      <c r="A9" s="65" t="s">
        <v>4</v>
      </c>
      <c r="B9" s="28">
        <v>200</v>
      </c>
      <c r="C9" s="26">
        <f t="shared" si="0"/>
        <v>160</v>
      </c>
      <c r="D9" s="53"/>
      <c r="E9" s="88" t="s">
        <v>136</v>
      </c>
    </row>
    <row r="10" spans="1:11" ht="30" customHeight="1" x14ac:dyDescent="0.25">
      <c r="A10" s="47" t="s">
        <v>6</v>
      </c>
      <c r="B10" s="48">
        <f>SUM(B4:B9)</f>
        <v>4100</v>
      </c>
      <c r="C10" s="48">
        <f>SUM(C4:C9)</f>
        <v>3280</v>
      </c>
      <c r="D10" s="54"/>
      <c r="E10" s="54"/>
    </row>
    <row r="11" spans="1:11" ht="30" customHeight="1" x14ac:dyDescent="0.25">
      <c r="A11" s="44" t="s">
        <v>17</v>
      </c>
      <c r="B11" s="28">
        <v>460</v>
      </c>
      <c r="C11" s="26">
        <f t="shared" ref="C11" si="1">B11*0.8</f>
        <v>368</v>
      </c>
      <c r="D11" s="86"/>
      <c r="E11" s="88" t="s">
        <v>136</v>
      </c>
    </row>
    <row r="12" spans="1:11" ht="30" customHeight="1" x14ac:dyDescent="0.25">
      <c r="A12" s="44" t="s">
        <v>174</v>
      </c>
      <c r="B12" s="28">
        <v>1400</v>
      </c>
      <c r="C12" s="26">
        <v>0</v>
      </c>
      <c r="D12" s="86" t="s">
        <v>176</v>
      </c>
      <c r="E12" s="88" t="s">
        <v>138</v>
      </c>
    </row>
    <row r="13" spans="1:11" ht="30" customHeight="1" x14ac:dyDescent="0.25">
      <c r="A13" s="44" t="s">
        <v>19</v>
      </c>
      <c r="B13" s="28">
        <v>1020</v>
      </c>
      <c r="C13" s="26">
        <f t="shared" ref="C13:C14" si="2">B13*0.8</f>
        <v>816</v>
      </c>
      <c r="D13" s="86"/>
      <c r="E13" s="88" t="s">
        <v>136</v>
      </c>
    </row>
    <row r="14" spans="1:11" ht="30" customHeight="1" x14ac:dyDescent="0.25">
      <c r="A14" s="44" t="s">
        <v>20</v>
      </c>
      <c r="B14" s="28">
        <v>300</v>
      </c>
      <c r="C14" s="26">
        <f t="shared" si="2"/>
        <v>240</v>
      </c>
      <c r="D14" s="86"/>
      <c r="E14" s="88" t="s">
        <v>136</v>
      </c>
    </row>
    <row r="15" spans="1:11" ht="30" customHeight="1" x14ac:dyDescent="0.25">
      <c r="A15" s="44" t="s">
        <v>175</v>
      </c>
      <c r="B15" s="28">
        <v>1000</v>
      </c>
      <c r="C15" s="26">
        <v>1000</v>
      </c>
      <c r="D15" s="86" t="s">
        <v>105</v>
      </c>
      <c r="E15" s="88" t="s">
        <v>136</v>
      </c>
    </row>
    <row r="16" spans="1:11" ht="30" customHeight="1" x14ac:dyDescent="0.25">
      <c r="A16" s="49" t="s">
        <v>23</v>
      </c>
      <c r="B16" s="50">
        <f>SUM(B11:B15)</f>
        <v>4180</v>
      </c>
      <c r="C16" s="64">
        <f>SUM(C11:C15)</f>
        <v>2424</v>
      </c>
      <c r="D16" s="55"/>
      <c r="E16" s="55"/>
      <c r="J16" s="24">
        <v>6476</v>
      </c>
      <c r="K16" s="24">
        <f>J16-1720</f>
        <v>4756</v>
      </c>
    </row>
    <row r="17" spans="1:10" ht="34.799999999999997" hidden="1" customHeight="1" x14ac:dyDescent="0.25">
      <c r="A17" s="45" t="s">
        <v>6</v>
      </c>
      <c r="B17" s="46">
        <f>B10+B16</f>
        <v>8280</v>
      </c>
      <c r="C17" s="46">
        <f>C10+C16</f>
        <v>5704</v>
      </c>
      <c r="D17" s="56"/>
      <c r="E17" s="56"/>
      <c r="J17" s="94">
        <f>C17-J16</f>
        <v>-772</v>
      </c>
    </row>
    <row r="18" spans="1:10" s="66" customFormat="1" ht="30" customHeight="1" x14ac:dyDescent="0.25">
      <c r="A18" s="66" t="s">
        <v>24</v>
      </c>
      <c r="C18" s="70"/>
      <c r="D18" s="68"/>
    </row>
    <row r="19" spans="1:10" s="66" customFormat="1" ht="30" customHeight="1" x14ac:dyDescent="0.25">
      <c r="A19" s="67" t="s">
        <v>50</v>
      </c>
      <c r="D19" s="68"/>
    </row>
    <row r="20" spans="1:10" s="66" customFormat="1" ht="30" customHeight="1" x14ac:dyDescent="0.25">
      <c r="A20" s="66" t="s">
        <v>25</v>
      </c>
      <c r="D20" s="68"/>
    </row>
    <row r="22" spans="1:10" s="37" customFormat="1" ht="28.05" customHeight="1" x14ac:dyDescent="0.25">
      <c r="A22" s="75" t="s">
        <v>119</v>
      </c>
      <c r="D22" s="76"/>
    </row>
    <row r="23" spans="1:10" s="37" customFormat="1" ht="28.05" customHeight="1" x14ac:dyDescent="0.25">
      <c r="A23" s="37" t="s">
        <v>120</v>
      </c>
      <c r="D23" s="76"/>
    </row>
    <row r="24" spans="1:10" s="37" customFormat="1" ht="28.05" customHeight="1" x14ac:dyDescent="0.25">
      <c r="A24" s="37" t="s">
        <v>89</v>
      </c>
      <c r="D24" s="76"/>
    </row>
    <row r="25" spans="1:10" s="37" customFormat="1" ht="28.05" customHeight="1" x14ac:dyDescent="0.25">
      <c r="A25" s="37" t="s">
        <v>122</v>
      </c>
      <c r="D25" s="76"/>
    </row>
    <row r="26" spans="1:10" s="37" customFormat="1" ht="28.05" customHeight="1" x14ac:dyDescent="0.25">
      <c r="A26" s="37" t="s">
        <v>121</v>
      </c>
      <c r="D26" s="76"/>
    </row>
    <row r="27" spans="1:10" s="37" customFormat="1" ht="28.05" customHeight="1" x14ac:dyDescent="0.25">
      <c r="A27" s="83" t="s">
        <v>132</v>
      </c>
      <c r="D27" s="76"/>
    </row>
    <row r="28" spans="1:10" s="37" customFormat="1" ht="28.05" customHeight="1" x14ac:dyDescent="0.25">
      <c r="A28" s="37" t="s">
        <v>123</v>
      </c>
      <c r="D28" s="76"/>
    </row>
    <row r="29" spans="1:10" s="37" customFormat="1" ht="28.05" customHeight="1" x14ac:dyDescent="0.25">
      <c r="A29" s="37" t="s">
        <v>127</v>
      </c>
      <c r="D29" s="76"/>
    </row>
    <row r="30" spans="1:10" s="37" customFormat="1" ht="28.05" customHeight="1" x14ac:dyDescent="0.25">
      <c r="A30" s="37" t="s">
        <v>125</v>
      </c>
      <c r="D30" s="76"/>
    </row>
    <row r="31" spans="1:10" s="37" customFormat="1" ht="28.05" customHeight="1" x14ac:dyDescent="0.25">
      <c r="A31" s="37" t="s">
        <v>126</v>
      </c>
      <c r="D31" s="76"/>
    </row>
    <row r="32" spans="1:10" s="37" customFormat="1" ht="28.05" customHeight="1" x14ac:dyDescent="0.25">
      <c r="A32" s="83" t="s">
        <v>131</v>
      </c>
      <c r="D32" s="76"/>
    </row>
    <row r="33" spans="1:4" s="37" customFormat="1" ht="28.05" customHeight="1" x14ac:dyDescent="0.25">
      <c r="A33" s="37" t="s">
        <v>124</v>
      </c>
      <c r="D33" s="76"/>
    </row>
    <row r="34" spans="1:4" s="37" customFormat="1" ht="28.05" customHeight="1" x14ac:dyDescent="0.25">
      <c r="A34" s="37" t="s">
        <v>128</v>
      </c>
      <c r="D34" s="76"/>
    </row>
    <row r="35" spans="1:4" s="37" customFormat="1" ht="28.05" customHeight="1" x14ac:dyDescent="0.25">
      <c r="A35" s="37" t="s">
        <v>129</v>
      </c>
      <c r="D35" s="76"/>
    </row>
    <row r="36" spans="1:4" s="37" customFormat="1" ht="28.05" customHeight="1" x14ac:dyDescent="0.25">
      <c r="A36" s="37" t="s">
        <v>130</v>
      </c>
      <c r="D36" s="76"/>
    </row>
    <row r="37" spans="1:4" s="37" customFormat="1" ht="28.05" customHeight="1" x14ac:dyDescent="0.25">
      <c r="A37" s="83" t="s">
        <v>133</v>
      </c>
      <c r="D37" s="76"/>
    </row>
    <row r="38" spans="1:4" s="37" customFormat="1" ht="28.05" customHeight="1" x14ac:dyDescent="0.25">
      <c r="A38" s="78" t="s">
        <v>58</v>
      </c>
      <c r="D38" s="76"/>
    </row>
    <row r="39" spans="1:4" s="37" customFormat="1" ht="28.05" customHeight="1" x14ac:dyDescent="0.25">
      <c r="A39" s="37" t="s">
        <v>134</v>
      </c>
      <c r="D39" s="76"/>
    </row>
    <row r="40" spans="1:4" s="37" customFormat="1" ht="28.05" customHeight="1" x14ac:dyDescent="0.25">
      <c r="A40" s="87">
        <f>360+2424</f>
        <v>2784</v>
      </c>
      <c r="D40" s="76"/>
    </row>
    <row r="41" spans="1:4" s="37" customFormat="1" ht="28.05" customHeight="1" x14ac:dyDescent="0.25">
      <c r="D41" s="76"/>
    </row>
    <row r="42" spans="1:4" s="37" customFormat="1" ht="28.05" customHeight="1" x14ac:dyDescent="0.25">
      <c r="A42" s="79"/>
      <c r="D42" s="76"/>
    </row>
    <row r="43" spans="1:4" s="37" customFormat="1" ht="28.05" customHeight="1" x14ac:dyDescent="0.25">
      <c r="A43" s="75"/>
      <c r="D43" s="76"/>
    </row>
    <row r="44" spans="1:4" s="37" customFormat="1" ht="28.05" customHeight="1" x14ac:dyDescent="0.25">
      <c r="A44" s="75"/>
      <c r="D44" s="76"/>
    </row>
    <row r="45" spans="1:4" s="37" customFormat="1" ht="28.05" customHeight="1" x14ac:dyDescent="0.25">
      <c r="A45" s="75"/>
      <c r="D45" s="76"/>
    </row>
    <row r="46" spans="1:4" s="37" customFormat="1" ht="28.05" customHeight="1" x14ac:dyDescent="0.25">
      <c r="A46" s="75"/>
      <c r="D46" s="76"/>
    </row>
    <row r="47" spans="1:4" s="37" customFormat="1" ht="28.05" customHeight="1" x14ac:dyDescent="0.25">
      <c r="A47" s="75"/>
      <c r="D47" s="76"/>
    </row>
    <row r="48" spans="1:4" s="37" customFormat="1" ht="28.05" customHeight="1" x14ac:dyDescent="0.25">
      <c r="A48" s="75"/>
      <c r="D48" s="76"/>
    </row>
    <row r="49" spans="1:4" s="37" customFormat="1" ht="28.05" customHeight="1" x14ac:dyDescent="0.25">
      <c r="A49" s="75"/>
      <c r="D49" s="76"/>
    </row>
    <row r="50" spans="1:4" ht="17.399999999999999" x14ac:dyDescent="0.25">
      <c r="A50" s="75"/>
    </row>
    <row r="51" spans="1:4" ht="17.399999999999999" x14ac:dyDescent="0.25">
      <c r="A51" s="75"/>
    </row>
    <row r="52" spans="1:4" ht="17.399999999999999" x14ac:dyDescent="0.25">
      <c r="A52" s="75"/>
    </row>
  </sheetData>
  <mergeCells count="5">
    <mergeCell ref="D1:E1"/>
    <mergeCell ref="A2:A3"/>
    <mergeCell ref="B2:B3"/>
    <mergeCell ref="D2:D3"/>
    <mergeCell ref="E2:E3"/>
  </mergeCells>
  <dataValidations disablePrompts="1" count="1">
    <dataValidation type="list" allowBlank="1" showInputMessage="1" showErrorMessage="1" sqref="E11:E15 E4:E9" xr:uid="{1634121C-B132-445E-AD04-93C0047567A8}">
      <formula1>"รอโอน, โอนแล้ว, หักลบยอดถูกล่าสุด, ไม่มี คชจ"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161068</vt:lpstr>
      <vt:lpstr>011168</vt:lpstr>
      <vt:lpstr>161168</vt:lpstr>
      <vt:lpstr>011268</vt:lpstr>
      <vt:lpstr>161268</vt:lpstr>
      <vt:lpstr>020169</vt:lpstr>
      <vt:lpstr>170169</vt:lpstr>
      <vt:lpstr>010269</vt:lpstr>
      <vt:lpstr>160269</vt:lpstr>
      <vt:lpstr>010369</vt:lpstr>
      <vt:lpstr>160369</vt:lpstr>
      <vt:lpstr>010469</vt:lpstr>
      <vt:lpstr>160469</vt:lpstr>
      <vt:lpstr>010569</vt:lpstr>
      <vt:lpstr>160569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Mr.Pongsakorn Thonthian</dc:creator>
  <cp:lastModifiedBy>michaels k</cp:lastModifiedBy>
  <dcterms:created xsi:type="dcterms:W3CDTF">2025-11-01T21:59:30Z</dcterms:created>
  <dcterms:modified xsi:type="dcterms:W3CDTF">2026-07-20T15:33:18Z</dcterms:modified>
</cp:coreProperties>
</file>